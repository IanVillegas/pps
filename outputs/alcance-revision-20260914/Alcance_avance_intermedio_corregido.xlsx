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12fea5f32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27967fd6e0234397"/>
    <x:sheet xmlns:r="http://schemas.openxmlformats.org/officeDocument/2006/relationships" name="03 al 14 AN" sheetId="2" r:id="R53cea514593d4a06"/>
    <x:sheet xmlns:r="http://schemas.openxmlformats.org/officeDocument/2006/relationships" name="17 al 28 FG" sheetId="3" r:id="R2c296db3768f44e8"/>
    <x:sheet xmlns:r="http://schemas.openxmlformats.org/officeDocument/2006/relationships" name="31 al 11 ARQ - LG - PS - MD" sheetId="4" r:id="R58a2820d498a499c"/>
    <x:sheet xmlns:r="http://schemas.openxmlformats.org/officeDocument/2006/relationships" name="14 al 25 SEP Inicio - P1" sheetId="5" r:id="R91f2991c0f7f4176"/>
    <x:sheet xmlns:r="http://schemas.openxmlformats.org/officeDocument/2006/relationships" name="28 SEP al 09 OCT P2 - P5" sheetId="6" r:id="Rb8bf297c987f40d5"/>
    <x:sheet xmlns:r="http://schemas.openxmlformats.org/officeDocument/2006/relationships" name="12 al 23 OCT P6 - P10" sheetId="7" r:id="R512dd562274b4881"/>
    <x:sheet xmlns:r="http://schemas.openxmlformats.org/officeDocument/2006/relationships" name="26 al 30 OCT P10 - Cierre" sheetId="8" r:id="Rc6a09a1ce499487c"/>
    <x:sheet xmlns:r="http://schemas.openxmlformats.org/officeDocument/2006/relationships" name="02 al 06 NOV CI" sheetId="9" r:id="R44c3821ebb9f4a27"/>
    <x:sheet xmlns:r="http://schemas.openxmlformats.org/officeDocument/2006/relationships" name="Avance Intermedio" sheetId="10" r:id="Rda8a427c1b37492f"/>
  </x:sheets>
</x:workbook>
</file>

<file path=xl/sharedStrings.xml><?xml version="1.0" encoding="utf-8"?>
<x:sst xmlns:x="http://schemas.openxmlformats.org/spreadsheetml/2006/main">
  <x:si>
    <x:t xml:space="preserve">Código</x:t>
  </x:si>
  <x:si>
    <x:t xml:space="preserve">Periodo</x:t>
  </x:si>
  <x:si>
    <x:t xml:space="preserve">Horas</x:t>
  </x:si>
  <x:si>
    <x:t xml:space="preserve">Actividades principales</x:t>
  </x:si>
  <x:si>
    <x:t xml:space="preserve">Resultado esperado</x:t>
  </x:si>
  <x:si>
    <x:t xml:space="preserve">Estado</x:t>
  </x:si>
  <x:si>
    <x:t xml:space="preserve">Avance calculado</x:t>
  </x:si>
  <x:si>
    <x:t xml:space="preserve">3 al 14 de agosto</x:t>
  </x:si>
  <x:si>
    <x:t xml:space="preserve">17 al 28 de agosto</x:t>
  </x:si>
  <x:si>
    <x:t xml:space="preserve">31 de agosto al 11 de septiembre</x:t>
  </x:si>
  <x:si>
    <x:t xml:space="preserve">Abreviatura</x:t>
  </x:si>
  <x:si>
    <x:t xml:space="preserve">Significado</x:t>
  </x:si>
  <x:si>
    <x:t xml:space="preserve">Horas en total según detalle de cronograma:</x:t>
  </x:si>
  <x:si>
    <x:t xml:space="preserve">AN</x:t>
  </x:si>
  <x:si>
    <x:t xml:space="preserve">Análisis</x:t>
  </x:si>
  <x:si>
    <x:t xml:space="preserve">FG</x:t>
  </x:si>
  <x:si>
    <x:t xml:space="preserve">Figma</x:t>
  </x:si>
  <x:si>
    <x:t xml:space="preserve">ARQ</x:t>
  </x:si>
  <x:si>
    <x:t xml:space="preserve">Arquitectura frontend</x:t>
  </x:si>
  <x:si>
    <x:t xml:space="preserve">LG</x:t>
  </x:si>
  <x:si>
    <x:t xml:space="preserve">Login</x:t>
  </x:si>
  <x:si>
    <x:t xml:space="preserve">PS</x:t>
  </x:si>
  <x:si>
    <x:t xml:space="preserve">MD</x:t>
  </x:si>
  <x:si>
    <x:t xml:space="preserve">FL</x:t>
  </x:si>
  <x:si>
    <x:t xml:space="preserve">Flujo general del formulario</x:t>
  </x:si>
  <x:si>
    <x:t xml:space="preserve">DG</x:t>
  </x:si>
  <x:si>
    <x:t xml:space="preserve">Datos generales</x:t>
  </x:si>
  <x:si>
    <x:t xml:space="preserve">NF</x:t>
  </x:si>
  <x:si>
    <x:t xml:space="preserve">Núcleo familiar</x:t>
  </x:si>
  <x:si>
    <x:t xml:space="preserve">IE</x:t>
  </x:si>
  <x:si>
    <x:t xml:space="preserve">Ingresos y egresos</x:t>
  </x:si>
  <x:si>
    <x:t xml:space="preserve">BI</x:t>
  </x:si>
  <x:si>
    <x:t xml:space="preserve">Bienes inmuebles</x:t>
  </x:si>
  <x:si>
    <x:t xml:space="preserve">BM</x:t>
  </x:si>
  <x:si>
    <x:t xml:space="preserve">Bienes muebles</x:t>
  </x:si>
  <x:si>
    <x:t xml:space="preserve">DE</x:t>
  </x:si>
  <x:si>
    <x:t xml:space="preserve">CC</x:t>
  </x:si>
  <x:si>
    <x:t xml:space="preserve">Cuentas corrientes</x:t>
  </x:si>
  <x:si>
    <x:t xml:space="preserve">CR</x:t>
  </x:si>
  <x:si>
    <x:t xml:space="preserve">Créditos</x:t>
  </x:si>
  <x:si>
    <x:t xml:space="preserve">TC</x:t>
  </x:si>
  <x:si>
    <x:t xml:space="preserve">Tarjetas de crédito</x:t>
  </x:si>
  <x:si>
    <x:t xml:space="preserve">PJ</x:t>
  </x:si>
  <x:si>
    <x:t xml:space="preserve">Personería jurídica</x:t>
  </x:si>
  <x:si>
    <x:t xml:space="preserve">DJ</x:t>
  </x:si>
  <x:si>
    <x:t xml:space="preserve">Datos judiciales</x:t>
  </x:si>
  <x:si>
    <x:t xml:space="preserve">DP</x:t>
  </x:si>
  <x:si>
    <x:t xml:space="preserve">DJU</x:t>
  </x:si>
  <x:si>
    <x:t xml:space="preserve">Declaración jurada</x:t>
  </x:si>
  <x:si>
    <x:t xml:space="preserve">INT</x:t>
  </x:si>
  <x:si>
    <x:t xml:space="preserve">Integración</x:t>
  </x:si>
  <x:si>
    <x:t xml:space="preserve">CI</x:t>
  </x:si>
  <x:si>
    <x:t xml:space="preserve">Cierre</x:t>
  </x:si>
  <x:si>
    <x:t xml:space="preserve">CDM</x:t>
  </x:si>
  <x:si>
    <x:t xml:space="preserve">Corrección de defectos y mejoras</x:t>
  </x:si>
  <x:si>
    <x:t xml:space="preserve">SEG</x:t>
  </x:si>
  <x:si>
    <x:t xml:space="preserve">Seguimiento quincenal</x:t>
  </x:si>
  <x:si>
    <x:t xml:space="preserve">ID</x:t>
  </x:si>
  <x:si>
    <x:t xml:space="preserve">Tarea</x:t>
  </x:si>
  <x:si>
    <x:t xml:space="preserve">Horas estimadas</x:t>
  </x:si>
  <x:si>
    <x:t xml:space="preserve">Resultado</x:t>
  </x:si>
  <x:si>
    <x:t xml:space="preserve">Avance</x:t>
  </x:si>
  <x:si>
    <x:t xml:space="preserve">AN-01</x:t>
  </x:si>
  <x:si>
    <x:t xml:space="preserve">Terminado</x:t>
  </x:si>
  <x:si>
    <x:t xml:space="preserve">AN-02</x:t>
  </x:si>
  <x:si>
    <x:t xml:space="preserve">AN-03</x:t>
  </x:si>
  <x:si>
    <x:t xml:space="preserve">AN-04</x:t>
  </x:si>
  <x:si>
    <x:t xml:space="preserve">AN-05</x:t>
  </x:si>
  <x:si>
    <x:t xml:space="preserve">AN-06</x:t>
  </x:si>
  <x:si>
    <x:t xml:space="preserve">AN-07</x:t>
  </x:si>
  <x:si>
    <x:t xml:space="preserve">AN-08</x:t>
  </x:si>
  <x:si>
    <x:t xml:space="preserve">AN-09</x:t>
  </x:si>
  <x:si>
    <x:t xml:space="preserve">SEG-01</x:t>
  </x:si>
  <x:si>
    <x:t xml:space="preserve">Pendiente</x:t>
  </x:si>
  <x:si>
    <x:t xml:space="preserve">Total del periodo</x:t>
  </x:si>
  <x:si>
    <x:t xml:space="preserve">FG-01</x:t>
  </x:si>
  <x:si>
    <x:t xml:space="preserve">FG-02</x:t>
  </x:si>
  <x:si>
    <x:t xml:space="preserve">FG-03</x:t>
  </x:si>
  <x:si>
    <x:t xml:space="preserve">FG-04</x:t>
  </x:si>
  <x:si>
    <x:t xml:space="preserve">FG-05</x:t>
  </x:si>
  <x:si>
    <x:t xml:space="preserve">FG-06</x:t>
  </x:si>
  <x:si>
    <x:t xml:space="preserve">FG-07</x:t>
  </x:si>
  <x:si>
    <x:t xml:space="preserve">FG-08</x:t>
  </x:si>
  <x:si>
    <x:t xml:space="preserve">FG-09</x:t>
  </x:si>
  <x:si>
    <x:t xml:space="preserve">FG-10</x:t>
  </x:si>
  <x:si>
    <x:t xml:space="preserve">FG-11</x:t>
  </x:si>
  <x:si>
    <x:t xml:space="preserve">FG-12</x:t>
  </x:si>
  <x:si>
    <x:t xml:space="preserve">FG-13</x:t>
  </x:si>
  <x:si>
    <x:t xml:space="preserve">FG-14</x:t>
  </x:si>
  <x:si>
    <x:t xml:space="preserve">FG-15</x:t>
  </x:si>
  <x:si>
    <x:t xml:space="preserve">FG-16</x:t>
  </x:si>
  <x:si>
    <x:t xml:space="preserve">FG-17</x:t>
  </x:si>
  <x:si>
    <x:t xml:space="preserve">SEG-02</x:t>
  </x:si>
  <x:si>
    <x:t xml:space="preserve">Reconstrucción y Modernización Tecnológica del Frontend del Sistema de Declaración Patrimonial</x:t>
  </x:si>
  <x:si>
    <x:t xml:space="preserve">Indicador</x:t>
  </x:si>
  <x:si>
    <x:t xml:space="preserve">Valor</x:t>
  </x:si>
  <x:si>
    <x:t xml:space="preserve">Lectura</x:t>
  </x:si>
  <x:si>
    <x:t xml:space="preserve">Porcentaje</x:t>
  </x:si>
  <x:si>
    <x:t xml:space="preserve">Reales registradas</x:t>
  </x:si>
  <x:si>
    <x:t xml:space="preserve">Horas reales en control</x:t>
  </x:si>
  <x:si>
    <x:t xml:space="preserve">Avance funcional</x:t>
  </x:si>
  <x:si>
    <x:t xml:space="preserve">Horas equivalentes funcionales</x:t>
  </x:si>
  <x:si>
    <x:t xml:space="preserve">Pendiente funcional</x:t>
  </x:si>
  <x:si>
    <x:t xml:space="preserve">Periodos terminados</x:t>
  </x:si>
  <x:si>
    <x:t xml:space="preserve">Horas planificadas</x:t>
  </x:si>
  <x:si>
    <x:t xml:space="preserve">Estado general</x:t>
  </x:si>
  <x:si>
    <x:t xml:space="preserve">Horas equiv.</x:t>
  </x:si>
  <x:si>
    <x:t xml:space="preserve">En Proceso</x:t>
  </x:si>
  <x:si>
    <x:t xml:space="preserve">Categoría</x:t>
  </x:si>
  <x:si>
    <x:t xml:space="preserve">Registradas</x:t>
  </x:si>
  <x:si>
    <x:t xml:space="preserve">Pendientes</x:t>
  </x:si>
  <x:si>
    <x:t xml:space="preserve">Semana</x:t>
  </x:si>
  <x:si>
    <x:t xml:space="preserve">Horas realizadas</x:t>
  </x:si>
  <x:si>
    <x:t xml:space="preserve">Acumulado</x:t>
  </x:si>
  <x:si>
    <x:t xml:space="preserve">Documento</x:t>
  </x:si>
  <x:si>
    <x:t xml:space="preserve">Fuente</x:t>
  </x:si>
  <x:si>
    <x:t xml:space="preserve">Uso en el panel</x:t>
  </x:si>
  <x:si>
    <x:t xml:space="preserve">Dato aplicado</x:t>
  </x:si>
  <x:si>
    <x:t xml:space="preserve">Semana 03</x:t>
  </x:si>
  <x:si>
    <x:t xml:space="preserve">2026-08-04 al 2026-08-07</x:t>
  </x:si>
  <x:si>
    <x:t xml:space="preserve">EIF408-07 Bitacora 01.pdf</x:t>
  </x:si>
  <x:si>
    <x:t xml:space="preserve">Guía Avance Intermedio</x:t>
  </x:si>
  <x:si>
    <x:t xml:space="preserve">Pide gráfico de avance y cronograma actualizado</x:t>
  </x:si>
  <x:si>
    <x:t xml:space="preserve">EIF408-04</x:t>
  </x:si>
  <x:si>
    <x:t xml:space="preserve">Semana 04</x:t>
  </x:si>
  <x:si>
    <x:t xml:space="preserve">2026-08-10 al 2026-08-14</x:t>
  </x:si>
  <x:si>
    <x:t xml:space="preserve">EIF408-07 Bitacora 02.pdf</x:t>
  </x:si>
  <x:si>
    <x:t xml:space="preserve">Bitácora semana 03</x:t>
  </x:si>
  <x:si>
    <x:t xml:space="preserve">Horas reales registradas</x:t>
  </x:si>
  <x:si>
    <x:t xml:space="preserve">Semana 05</x:t>
  </x:si>
  <x:si>
    <x:t xml:space="preserve">2026-08-17 al 2026-08-21</x:t>
  </x:si>
  <x:si>
    <x:t xml:space="preserve">EIF408-07 Bitacora 03.pdf</x:t>
  </x:si>
  <x:si>
    <x:t xml:space="preserve">Bitácora semana 04</x:t>
  </x:si>
  <x:si>
    <x:t xml:space="preserve">Semana 06</x:t>
  </x:si>
  <x:si>
    <x:t xml:space="preserve">2026-08-24 al 2026-08-28</x:t>
  </x:si>
  <x:si>
    <x:t xml:space="preserve">EIF408-07 Bitacora 04.pdf</x:t>
  </x:si>
  <x:si>
    <x:t xml:space="preserve">Bitácora semana 05</x:t>
  </x:si>
  <x:si>
    <x:t xml:space="preserve">Semana 07</x:t>
  </x:si>
  <x:si>
    <x:t xml:space="preserve">2026-09-01 al 2026-09-04</x:t>
  </x:si>
  <x:si>
    <x:t xml:space="preserve">EIF408-07 Bitacora 05.pdf</x:t>
  </x:si>
  <x:si>
    <x:t xml:space="preserve">Bitácora semana 06</x:t>
  </x:si>
  <x:si>
    <x:t xml:space="preserve">Semana 08</x:t>
  </x:si>
  <x:si>
    <x:t xml:space="preserve">2026-09-07 al 2026-09-11</x:t>
  </x:si>
  <x:si>
    <x:t xml:space="preserve">EIF408-07 Bitacora 06.pdf</x:t>
  </x:si>
  <x:si>
    <x:t xml:space="preserve">Bitácora semana 07</x:t>
  </x:si>
  <x:si>
    <x:t xml:space="preserve">Total</x:t>
  </x:si>
  <x:si>
    <x:t xml:space="preserve">Bitácora semana 08</x:t>
  </x:si>
  <x:si>
    <x:t xml:space="preserve">Notas para el informe</x:t>
  </x:si>
</x:sst>
</file>

<file path=xl/styles.xml><?xml version="1.0" encoding="utf-8"?>
<x:styleSheet xmlns:x="http://schemas.openxmlformats.org/spreadsheetml/2006/main">
  <x:numFmts count="3">
    <x:numFmt numFmtId="164" formatCode="0.0%"/>
    <x:numFmt numFmtId="165" formatCode="#,##0.0"/>
    <x:numFmt numFmtId="200" formatCode="0"/>
  </x:numFmts>
  <x:fonts count="20">
    <x:font>
      <x:sz val="10"/>
      <x:color rgb="FF000000"/>
      <x:name val="Arial"/>
    </x:font>
    <x:font>
      <x:b/>
      <x:sz val="15"/>
      <x:color rgb="FF0F5B62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color rgb="FFFFFFFF"/>
      <x:name val="Arial"/>
    </x:font>
    <x:font>
      <x:sz val="11"/>
      <x:color rgb="FF000000"/>
      <x:name val="Arial"/>
    </x:font>
    <x:font>
      <x:b/>
      <x:sz val="16"/>
      <x:color rgb="FF173B3F"/>
      <x:name val="Arial"/>
    </x:font>
    <x:font>
      <x:i/>
      <x:sz val="10"/>
      <x:color rgb="FF52656A"/>
      <x:name val="Arial"/>
    </x:font>
    <x:font>
      <x:b/>
      <x:sz val="10"/>
      <x:color rgb="FFFFFFFF"/>
      <x:name val="Arial"/>
    </x:font>
    <x:font>
      <x:b/>
      <x:sz val="10"/>
      <x:color rgb="FF173B3F"/>
      <x:name val="Arial"/>
    </x:font>
    <x:font>
      <x:sz val="10"/>
      <x:color rgb="FF173B3F"/>
      <x:name val="Arial"/>
    </x:font>
    <x:font>
      <x:sz val="9"/>
      <x:color rgb="FF173B3F"/>
      <x:name val="Arial"/>
    </x:font>
    <x:font>
      <x:b/>
      <x:sz val="12"/>
      <x:color rgb="FF173B3F"/>
      <x:name val="Arial"/>
    </x:font>
    <x:font>
      <x:sz val="10"/>
      <x:color rgb="FF52656A"/>
      <x:name val="Arial"/>
    </x:font>
    <x:font>
      <x:sz val="10"/>
      <x:color rgb="FF173B3F"/>
      <x:name val="Arial"/>
    </x:font>
    <x:font>
      <x:sz val="8"/>
      <x:name val="Arial"/>
    </x:font>
    <x:font>
      <x:b/>
      <x:sz val="14"/>
      <x:color rgb="FF115E67"/>
      <x:name val="Arial"/>
    </x:font>
    <x:font>
      <x:b/>
      <x:sz val="11"/>
      <x:color rgb="FFFFFFFF"/>
      <x:name val="Arial"/>
    </x:font>
    <x:font>
      <x:b/>
      <x:sz val="11"/>
      <x:color rgb="FF115E67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0F5B62"/>
      </x:patternFill>
    </x:fill>
    <x:fill>
      <x:patternFill patternType="solid">
        <x:fgColor rgb="FFFFFFFF"/>
      </x:patternFill>
    </x:fill>
    <x:fill>
      <x:patternFill patternType="solid">
        <x:fgColor rgb="FF45818E"/>
      </x:patternFill>
    </x:fill>
    <x:fill>
      <x:patternFill patternType="solid">
        <x:fgColor rgb="FF674EA7"/>
      </x:patternFill>
    </x:fill>
    <x:fill>
      <x:patternFill patternType="solid">
        <x:fgColor rgb="FFEFEFEF"/>
      </x:patternFill>
    </x:fill>
    <x:fill>
      <x:patternFill patternType="solid">
        <x:fgColor rgb="FF0F666A"/>
      </x:patternFill>
    </x:fill>
    <x:fill>
      <x:patternFill patternType="solid">
        <x:fgColor rgb="FFF7D774"/>
      </x:patternFill>
    </x:fill>
    <x:fill>
      <x:patternFill patternType="solid">
        <x:fgColor rgb="FFDDEFF0"/>
      </x:patternFill>
    </x:fill>
    <x:fill>
      <x:patternFill patternType="solid">
        <x:fgColor rgb="FF115E67"/>
      </x:patternFill>
    </x:fill>
    <x:fill>
      <x:patternFill patternType="solid">
        <x:fgColor rgb="FFFFFFFF"/>
      </x:patternFill>
    </x:fill>
    <x:fill>
      <x:patternFill patternType="solid">
        <x:fgColor rgb="FF115E67"/>
      </x:patternFill>
    </x:fill>
  </x:fills>
  <x:borders count="13">
    <x:border/>
    <x:border>
      <x:bottom style="thin">
        <x:color rgb="FF0F666A"/>
      </x:bottom>
    </x:border>
    <x:border>
      <x:left style="thin">
        <x:color rgb="FFD9E2E4"/>
      </x:left>
      <x:top style="thin">
        <x:color rgb="FFD9E2E4"/>
      </x:top>
    </x:border>
    <x:border>
      <x:right style="thin">
        <x:color rgb="FFD9E2E4"/>
      </x:right>
      <x:top style="thin">
        <x:color rgb="FFD9E2E4"/>
      </x:top>
    </x:border>
    <x:border>
      <x:left style="thin">
        <x:color rgb="FFD9E2E4"/>
      </x:left>
    </x:border>
    <x:border>
      <x:right style="thin">
        <x:color rgb="FFD9E2E4"/>
      </x:right>
    </x:border>
    <x:border>
      <x:left style="thin">
        <x:color rgb="FFD9E2E4"/>
      </x:left>
      <x:bottom style="thin">
        <x:color rgb="FFD9E2E4"/>
      </x:bottom>
    </x:border>
    <x:border>
      <x:right style="thin">
        <x:color rgb="FFD9E2E4"/>
      </x:right>
      <x:bottom style="thin">
        <x:color rgb="FFD9E2E4"/>
      </x:bottom>
    </x:border>
    <x:border>
      <x:top style="thin">
        <x:color rgb="FFD9E2E4"/>
      </x:top>
    </x:border>
    <x:border>
      <x:bottom style="thin">
        <x:color rgb="FFD9E2E4"/>
      </x:bottom>
    </x:border>
    <x:border>
      <x:left style="thin">
        <x:color rgb="FFD9E2E4"/>
      </x:left>
      <x:right style="thin">
        <x:color rgb="FFD9E2E4"/>
      </x:right>
      <x:top style="thin">
        <x:color rgb="FFD9E2E4"/>
      </x:top>
      <x:bottom style="thin">
        <x:color rgb="FFD9E2E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E2E4"/>
      </x:left>
      <x:right style="thin">
        <x:color rgb="FFD9E2E4"/>
      </x:right>
      <x:bottom style="thin">
        <x:color rgb="FFD9E2E4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Font="1" applyAlignment="1">
      <x:alignment horizontal="center" wrapText="1"/>
    </x:xf>
    <x:xf numFmtId="0" fontId="1" fillId="0" borderId="0" xfId="0" applyFont="1"/>
    <x:xf numFmtId="0" fontId="2" fillId="2" borderId="0" xfId="0" applyFont="1" applyFill="1" applyAlignment="1">
      <x:alignment horizontal="left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right" wrapText="1"/>
    </x:xf>
    <x:xf numFmtId="0" fontId="2" fillId="2" borderId="0" xfId="0" applyFont="1" applyFill="1" applyAlignment="1">
      <x:alignment horizontal="center" wrapText="1"/>
    </x:xf>
    <x:xf numFmtId="0" fontId="4" fillId="0" borderId="0" xfId="0" applyFont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4" fillId="0" borderId="0" xfId="0" applyFont="1" applyAlignment="1">
      <x:alignment horizontal="right" wrapText="1"/>
    </x:xf>
    <x:xf numFmtId="0" fontId="4" fillId="0" borderId="0" xfId="0" applyFont="1"/>
    <x:xf numFmtId="0" fontId="5" fillId="4" borderId="0" xfId="0" applyFont="1" applyFill="1" applyAlignment="1">
      <x:alignment wrapText="1"/>
    </x:xf>
    <x:xf numFmtId="0" fontId="5" fillId="4" borderId="0" xfId="0" applyFont="1" applyFill="1" applyAlignment="1">
      <x:alignment horizontal="right" wrapText="1"/>
    </x:xf>
    <x:xf numFmtId="0" fontId="4" fillId="4" borderId="0" xfId="0" applyFont="1" applyFill="1"/>
    <x:xf numFmtId="0" fontId="5" fillId="2" borderId="0" xfId="0" applyFont="1" applyFill="1" applyAlignment="1">
      <x:alignment wrapText="1"/>
    </x:xf>
    <x:xf numFmtId="0" fontId="5" fillId="2" borderId="0" xfId="0" applyFont="1" applyFill="1" applyAlignment="1">
      <x:alignment horizontal="right" wrapText="1"/>
    </x:xf>
    <x:xf numFmtId="0" fontId="4" fillId="2" borderId="0" xfId="0" applyFont="1" applyFill="1" applyAlignment="1">
      <x:alignment horizontal="left" vertical="center" wrapText="1"/>
    </x:xf>
    <x:xf numFmtId="0" fontId="2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/>
    </x:xf>
    <x:xf numFmtId="0" fontId="5" fillId="5" borderId="0" xfId="0" applyFont="1" applyFill="1"/>
    <x:xf numFmtId="0" fontId="4" fillId="6" borderId="0" xfId="0" applyFont="1" applyFill="1"/>
    <x:xf numFmtId="0" fontId="5" fillId="4" borderId="0" xfId="0" applyFont="1" applyFill="1"/>
    <x:xf numFmtId="0" fontId="5" fillId="2" borderId="0" xfId="0" applyFont="1" applyFill="1" applyAlignment="1">
      <x:alignment horizontal="center" wrapText="1"/>
    </x:xf>
    <x:xf numFmtId="0" fontId="4" fillId="6" borderId="0" xfId="0" applyFont="1" applyFill="1" applyAlignment="1">
      <x:alignment wrapText="1"/>
    </x:xf>
    <x:xf numFmtId="0" fontId="4" fillId="6" borderId="0" xfId="0" applyFont="1" applyFill="1" applyAlignment="1">
      <x:alignment horizontal="right" wrapText="1"/>
    </x:xf>
    <x:xf numFmtId="0" fontId="1" fillId="0" borderId="0" xfId="0" applyFont="1" applyAlignment="1">
      <x:alignment wrapText="1"/>
    </x:xf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0" fillId="0" borderId="1" xfId="0" applyBorder="1"/>
    <x:xf numFmtId="0" fontId="9" fillId="7" borderId="2" xfId="0" applyFont="1" applyFill="1" applyBorder="1"/>
    <x:xf numFmtId="0" fontId="9" fillId="7" borderId="3" xfId="0" applyFont="1" applyFill="1" applyBorder="1"/>
    <x:xf numFmtId="0" fontId="10" fillId="0" borderId="4" xfId="0" applyFont="1" applyBorder="1"/>
    <x:xf numFmtId="3" fontId="0" fillId="0" borderId="5" xfId="0" applyNumberFormat="1" applyBorder="1"/>
    <x:xf numFmtId="164" fontId="0" fillId="0" borderId="5" xfId="0" applyNumberFormat="1" applyBorder="1"/>
    <x:xf numFmtId="165" fontId="0" fillId="0" borderId="5" xfId="0" applyNumberFormat="1" applyBorder="1"/>
    <x:xf numFmtId="0" fontId="9" fillId="7" borderId="8" xfId="0" applyFont="1" applyFill="1" applyBorder="1"/>
    <x:xf numFmtId="0" fontId="11" fillId="0" borderId="4" xfId="0" applyFont="1" applyBorder="1"/>
    <x:xf numFmtId="0" fontId="11" fillId="0" borderId="6" xfId="0" applyFont="1" applyBorder="1"/>
    <x:xf numFmtId="3" fontId="11" fillId="0" borderId="0" xfId="0" applyNumberFormat="1" applyFont="1"/>
    <x:xf numFmtId="3" fontId="11" fillId="0" borderId="9" xfId="0" applyNumberFormat="1" applyFont="1" applyBorder="1"/>
    <x:xf numFmtId="164" fontId="11" fillId="0" borderId="5" xfId="0" applyNumberFormat="1" applyFont="1" applyBorder="1"/>
    <x:xf numFmtId="164" fontId="11" fillId="0" borderId="7" xfId="0" applyNumberFormat="1" applyFont="1" applyBorder="1"/>
    <x:xf numFmtId="0" fontId="9" fillId="7" borderId="10" xfId="0" applyFont="1" applyFill="1" applyBorder="1"/>
    <x:xf numFmtId="0" fontId="11" fillId="0" borderId="10" xfId="0" applyFont="1" applyBorder="1"/>
    <x:xf numFmtId="3" fontId="11" fillId="0" borderId="10" xfId="0" applyNumberFormat="1" applyFont="1" applyBorder="1"/>
    <x:xf numFmtId="164" fontId="11" fillId="0" borderId="10" xfId="0" applyNumberFormat="1" applyFont="1" applyBorder="1"/>
    <x:xf numFmtId="165" fontId="11" fillId="0" borderId="10" xfId="0" applyNumberFormat="1" applyFont="1" applyBorder="1"/>
    <x:xf numFmtId="0" fontId="11" fillId="8" borderId="10" xfId="0" applyFont="1" applyFill="1" applyBorder="1"/>
    <x:xf numFmtId="164" fontId="11" fillId="8" borderId="10" xfId="0" applyNumberFormat="1" applyFont="1" applyFill="1" applyBorder="1"/>
    <x:xf numFmtId="0" fontId="0" fillId="0" borderId="10" xfId="0" applyBorder="1"/>
    <x:xf numFmtId="3" fontId="0" fillId="0" borderId="10" xfId="0" applyNumberFormat="1" applyBorder="1"/>
    <x:xf numFmtId="0" fontId="10" fillId="9" borderId="10" xfId="0" applyFont="1" applyFill="1" applyBorder="1"/>
    <x:xf numFmtId="3" fontId="10" fillId="9" borderId="10" xfId="0" applyNumberFormat="1" applyFont="1" applyFill="1" applyBorder="1"/>
    <x:xf numFmtId="0" fontId="12" fillId="0" borderId="10" xfId="0" applyFont="1" applyBorder="1"/>
    <x:xf numFmtId="0" fontId="13" fillId="0" borderId="0" xfId="0" applyFont="1"/>
    <x:xf numFmtId="0" fontId="2" fillId="7" borderId="10" xfId="0" applyFont="1" applyFill="1" applyBorder="1" applyAlignment="1">
      <x:alignment wrapText="1"/>
    </x:xf>
    <x:xf numFmtId="0" fontId="4" fillId="0" borderId="10" xfId="0" applyFont="1" applyBorder="1" applyAlignment="1">
      <x:alignment wrapText="1"/>
    </x:xf>
    <x:xf numFmtId="164" fontId="15" fillId="0" borderId="10" xfId="0" applyNumberFormat="1" applyFont="1" applyBorder="1" applyAlignment="1">
      <x:alignment wrapText="1"/>
    </x:xf>
    <x:xf numFmtId="0" fontId="14" fillId="0" borderId="0" xfId="0" applyFont="1" applyAlignment="1">
      <x:alignment wrapText="1"/>
    </x:xf>
    <x:xf numFmtId="0" fontId="12" fillId="0" borderId="10" xfId="0" applyNumberFormat="1" applyFont="1" applyBorder="1"/>
    <x:xf numFmtId="164" fontId="15" fillId="0" borderId="12" xfId="0" applyNumberFormat="1" applyFont="1" applyBorder="1" applyAlignment="1">
      <x:alignment horizontal="center" vertical="center" wrapText="1"/>
    </x:xf>
    <x:xf numFmtId="0" fontId="2" fillId="7" borderId="11" xfId="0" applyFont="1" applyFill="1" applyBorder="1" applyAlignment="1">
      <x:alignment horizontal="center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3" borderId="11" xfId="0" applyFont="1" applyFill="1" applyBorder="1" applyAlignment="1">
      <x:alignment horizontal="center" vertical="center" wrapText="1"/>
    </x:xf>
    <x:xf numFmtId="164" fontId="15" fillId="0" borderId="11" xfId="0" applyNumberFormat="1" applyFont="1" applyBorder="1" applyAlignment="1">
      <x:alignment horizontal="center" vertical="center" wrapText="1"/>
    </x:xf>
    <x:xf numFmtId="0" fontId="2" fillId="2" borderId="11" xfId="0" applyFont="1" applyFill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/>
    </x:xf>
    <x:xf numFmtId="0" fontId="17" fillId="0" borderId="0" xfId="0" applyNumberFormat="1" applyFont="1" applyFill="1" applyBorder="1"/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 applyAlignment="1">
      <x:alignment horizontal="center" wrapText="1"/>
    </x:xf>
    <x:xf numFmtId="0" fontId="18" fillId="1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164" fontId="6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10" borderId="0" xfId="0" applyNumberFormat="1" applyFont="1" applyFill="1" applyBorder="1"/>
    <x:xf numFmtId="164" fontId="0" fillId="10" borderId="0" xfId="0" applyNumberFormat="1" applyFont="1" applyFill="1" applyBorder="1"/>
    <x:xf numFmtId="200" fontId="18" fillId="10" borderId="0" xfId="0" applyNumberFormat="1" applyFont="1" applyFill="1" applyBorder="1"/>
    <x:xf numFmtId="164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164" fontId="11" fillId="0" borderId="11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1" fillId="0" borderId="10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right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right" wrapText="1"/>
    </x:xf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right" wrapText="1"/>
    </x:xf>
    <x:xf numFmtId="0" fontId="4" fillId="11" borderId="0" xfId="0" applyNumberFormat="1" applyFont="1" applyFill="1" applyBorder="1"/>
    <x:xf numFmtId="164" fontId="11" fillId="11" borderId="1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right" wrapText="1"/>
    </x:xf>
    <x:xf numFmtId="0" fontId="4" fillId="12" borderId="0" xfId="0" applyNumberFormat="1" applyFont="1" applyFill="1" applyBorder="1"/>
    <x:xf numFmtId="164" fontId="11" fillId="12" borderId="10" xfId="0" applyNumberFormat="1" applyFont="1" applyFill="1" applyBorder="1"/>
    <x:xf numFmtId="0" fontId="18" fillId="12" borderId="0" xfId="0" applyNumberFormat="1" applyFont="1" applyFill="1" applyBorder="1" applyAlignment="1">
      <x:alignment wrapText="1"/>
    </x:xf>
    <x:xf numFmtId="0" fontId="18" fillId="12" borderId="0" xfId="0" applyNumberFormat="1" applyFont="1" applyFill="1" applyBorder="1" applyAlignment="1">
      <x:alignment horizontal="right" wrapText="1"/>
    </x:xf>
    <x:xf numFmtId="0" fontId="18" fillId="12" borderId="0" xfId="0" applyNumberFormat="1" applyFont="1" applyFill="1" applyBorder="1"/>
    <x:xf numFmtId="164" fontId="18" fillId="12" borderId="1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right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ill>
        <x:patternFill>
          <x:bgColor rgb="FF63BE7B"/>
        </x:patternFill>
      </x:fill>
    </x:dxf>
    <x:dxf>
      <x:fill>
        <x:patternFill>
          <x:bgColor rgb="FFE0E383"/>
        </x:patternFill>
      </x:fill>
    </x:dxf>
    <x:dxf>
      <x:font>
        <x:color auto="1"/>
      </x:font>
      <x:fill>
        <x:patternFill>
          <x:bgColor rgb="FFF8696B"/>
        </x:patternFill>
      </x:fill>
    </x:dxf>
    <x:dxf>
      <x:fill>
        <x:patternFill>
          <x:bgColor rgb="FF63BE7B"/>
        </x:patternFill>
      </x:fill>
    </x:dxf>
    <x:dxf>
      <x:fill>
        <x:patternFill>
          <x:bgColor rgb="FFE0E383"/>
        </x:patternFill>
      </x:fill>
    </x:dxf>
    <x:dxf>
      <x:fill>
        <x:patternFill>
          <x:bgColor rgb="FFF8696B"/>
        </x:patternFill>
      </x:fill>
    </x:dxf>
    <x:dxf>
      <x:fill>
        <x:patternFill>
          <x:bgColor rgb="FFF8696B"/>
        </x:patternFill>
      </x:fill>
    </x:dxf>
    <x:dxf>
      <x:fill>
        <x:patternFill>
          <x:bgColor rgb="FFE0E383"/>
        </x:patternFill>
      </x:fill>
    </x:dxf>
    <x:dxf>
      <x:fill>
        <x:patternFill>
          <x:bgColor rgb="FF63BE7B"/>
        </x:patternFill>
      </x:fill>
    </x:dxf>
    <x:dxf>
      <x:fill>
        <x:patternFill>
          <x:bgColor rgb="FFE0E383"/>
        </x:patternFill>
      </x:fill>
    </x:dxf>
    <x:dxf>
      <x:fill>
        <x:patternFill>
          <x:bgColor rgb="FF63BE7B"/>
        </x:patternFill>
      </x:fill>
    </x:dxf>
    <x:dxf>
      <x:fill>
        <x:patternFill>
          <x:bgColor rgb="FF63BE7B"/>
        </x:patternFill>
      </x:fill>
    </x:dxf>
    <x:dxf>
      <x:font>
        <x:color auto="1"/>
      </x:font>
      <x:fill>
        <x:patternFill>
          <x:bgColor theme="5" tint="0.39995"/>
        </x:patternFill>
      </x:fill>
    </x:dxf>
    <x:dxf>
      <x:fill>
        <x:patternFill>
          <x:bgColor theme="6" tint="0.39995"/>
        </x:patternFill>
      </x:fill>
    </x:dxf>
    <x:dxf>
      <x:fill>
        <x:patternFill>
          <x:bgColor theme="7" tint="0.39995"/>
        </x:patternFill>
      </x:fill>
    </x:dxf>
    <x:dxf>
      <x:font>
        <x:color theme="0"/>
      </x:font>
      <x:fill>
        <x:patternFill>
          <x:bgColor theme="5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ont>
        <x:color theme="0"/>
      </x:font>
      <x:fill>
        <x:patternFill>
          <x:bgColor theme="5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ill>
        <x:patternFill>
          <x:bgColor theme="5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ill>
        <x:patternFill>
          <x:bgColor theme="7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ill>
        <x:patternFill>
          <x:bgColor theme="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249be102f4ed7" /><Relationship Type="http://schemas.openxmlformats.org/officeDocument/2006/relationships/theme" Target="/xl/theme/theme1.xml" Id="Redc822de91bb44f1" /><Relationship Type="http://schemas.openxmlformats.org/officeDocument/2006/relationships/sharedStrings" Target="/xl/sharedStrings.xml" Id="R47a9a4ce58104e9e" /><Relationship Type="http://schemas.openxmlformats.org/officeDocument/2006/relationships/worksheet" Target="/xl/worksheets/sheet1.xml" Id="R27967fd6e0234397" /><Relationship Type="http://schemas.openxmlformats.org/officeDocument/2006/relationships/worksheet" Target="/xl/worksheets/sheet2.xml" Id="R53cea514593d4a06" /><Relationship Type="http://schemas.openxmlformats.org/officeDocument/2006/relationships/worksheet" Target="/xl/worksheets/sheet3.xml" Id="R2c296db3768f44e8" /><Relationship Type="http://schemas.openxmlformats.org/officeDocument/2006/relationships/worksheet" Target="/xl/worksheets/sheet4.xml" Id="R58a2820d498a499c" /><Relationship Type="http://schemas.openxmlformats.org/officeDocument/2006/relationships/worksheet" Target="/xl/worksheets/sheet5.xml" Id="R91f2991c0f7f4176" /><Relationship Type="http://schemas.openxmlformats.org/officeDocument/2006/relationships/worksheet" Target="/xl/worksheets/sheet6.xml" Id="Rb8bf297c987f40d5" /><Relationship Type="http://schemas.openxmlformats.org/officeDocument/2006/relationships/worksheet" Target="/xl/worksheets/sheet7.xml" Id="R512dd562274b4881" /><Relationship Type="http://schemas.openxmlformats.org/officeDocument/2006/relationships/worksheet" Target="/xl/worksheets/sheet8.xml" Id="Rc6a09a1ce499487c" /><Relationship Type="http://schemas.openxmlformats.org/officeDocument/2006/relationships/worksheet" Target="/xl/worksheets/sheet9.xml" Id="R44c3821ebb9f4a27" /><Relationship Type="http://schemas.openxmlformats.org/officeDocument/2006/relationships/worksheet" Target="/xl/worksheets/sheet10.xml" Id="Rda8a427c1b3749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3a8f4e275544be" /><Relationship Type="http://schemas.openxmlformats.org/officeDocument/2006/relationships/chart" Target="/xl/drawings/charts/chart2.xml" Id="R138afe5400714ce6" /><Relationship Type="http://schemas.openxmlformats.org/officeDocument/2006/relationships/chart" Target="/xl/drawings/charts/chart3.xml" Id="R39356952ac4343f7" /><Relationship Type="http://schemas.openxmlformats.org/officeDocument/2006/relationships/chart" Target="/xl/drawings/charts/chart4.xml" Id="R2de8186b8ac64acf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Avance por horas registradas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doughnutChart>
        <c:ser>
          <c:idx val="0"/>
          <c:order val="0"/>
          <c:tx>
            <c:v>Horas</c:v>
          </c:tx>
          <c:dPt>
            <c:idx val="0"/>
            <c:spPr>
              <a:solidFill xmlns:a="http://schemas.openxmlformats.org/drawingml/2006/main">
                <a:srgbClr val="63BE7B"/>
              </a:solidFill>
            </c:spPr>
          </c:dPt>
          <c:dPt>
            <c:idx val="1"/>
            <c:spPr>
              <a:solidFill xmlns:a="http://schemas.openxmlformats.org/drawingml/2006/main">
                <a:srgbClr val="F8696B"/>
              </a:solidFill>
            </c:spPr>
          </c:dPt>
          <c:cat>
            <c:strRef>
              <c:f>'Avance Intermedio'!$J$19:$J$20</c:f>
              <c:strCache>
                <c:ptCount val="2"/>
                <c:pt idx="0">
                  <c:v>Registradas</c:v>
                </c:pt>
                <c:pt idx="1">
                  <c:v>Pendientes</c:v>
                </c:pt>
              </c:strCache>
            </c:strRef>
          </c:cat>
          <c:val>
            <c:numRef>
              <c:f>'Avance Intermedio'!$K$19:$K$20</c:f>
              <c:numCache>
                <c:formatCode>#,##0</c:formatCode>
                <c:ptCount val="2"/>
                <c:pt idx="0">
                  <c:v>143</c:v>
                </c:pt>
                <c:pt idx="1">
                  <c:v>157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Horas por estado del cronograma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Horas</c:v>
          </c:tx>
          <c:dPt>
            <c:idx val="0"/>
            <c:invertIfNegative val="0"/>
            <c:spPr>
              <a:solidFill xmlns:a="http://schemas.openxmlformats.org/drawingml/2006/main">
                <a:srgbClr val="63BE7B"/>
              </a:solidFill>
            </c:spPr>
          </c:dPt>
          <c:dPt>
            <c:idx val="1"/>
            <c:invertIfNegative val="0"/>
            <c:spPr>
              <a:solidFill xmlns:a="http://schemas.openxmlformats.org/drawingml/2006/main">
                <a:srgbClr val="E0E383"/>
              </a:solidFill>
            </c:spPr>
          </c:dPt>
          <c:dPt>
            <c:idx val="2"/>
            <c:invertIfNegative val="0"/>
            <c:spPr>
              <a:solidFill xmlns:a="http://schemas.openxmlformats.org/drawingml/2006/main">
                <a:srgbClr val="F8696B"/>
              </a:solidFill>
            </c:spPr>
          </c:dPt>
          <c:cat>
            <c:strRef>
              <c:f>'Avance Intermedio'!$J$13:$J$15</c:f>
              <c:strCache>
                <c:ptCount val="3"/>
                <c:pt idx="0">
                  <c:v>Terminado</c:v>
                </c:pt>
                <c:pt idx="1">
                  <c:v>En Proceso</c:v>
                </c:pt>
                <c:pt idx="2">
                  <c:v>Pendiente</c:v>
                </c:pt>
              </c:strCache>
            </c:strRef>
          </c:cat>
          <c:val>
            <c:numRef>
              <c:f>'Avance Intermedio'!$K$13:$K$15</c:f>
              <c:numCache>
                <c:formatCode>#,##0</c:formatCode>
                <c:ptCount val="3"/>
                <c:pt idx="0">
                  <c:v>80</c:v>
                </c:pt>
                <c:pt idx="1">
                  <c:v>40</c:v>
                </c:pt>
                <c:pt idx="2">
                  <c:v>180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Avance por periodo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Avance funcional</c:v>
          </c:tx>
          <c:dPt>
            <c:idx val="0"/>
            <c:invertIfNegative val="0"/>
            <c:spPr>
              <a:solidFill xmlns:a="http://schemas.openxmlformats.org/drawingml/2006/main">
                <a:srgbClr val="63BE7B"/>
              </a:solidFill>
            </c:spPr>
          </c:dPt>
          <c:dPt>
            <c:idx val="1"/>
            <c:invertIfNegative val="0"/>
            <c:spPr>
              <a:solidFill xmlns:a="http://schemas.openxmlformats.org/drawingml/2006/main">
                <a:srgbClr val="63BE7B"/>
              </a:solidFill>
            </c:spPr>
          </c:dPt>
          <c:dPt>
            <c:idx val="2"/>
            <c:invertIfNegative val="0"/>
            <c:spPr>
              <a:solidFill xmlns:a="http://schemas.openxmlformats.org/drawingml/2006/main">
                <a:srgbClr val="E0E383"/>
              </a:solidFill>
            </c:spPr>
          </c:dPt>
          <c:cat>
            <c:strRef>
              <c:f>'Avance Intermedio'!$A$13:$A$20</c:f>
              <c:strCache>
                <c:ptCount val="8"/>
                <c:pt idx="0">
                  <c:v>AN</c:v>
                </c:pt>
                <c:pt idx="1">
                  <c:v>FG</c:v>
                </c:pt>
                <c:pt idx="2">
                  <c:v>ARQ - LG - PS - MD</c:v>
                </c:pt>
                <c:pt idx="3">
                  <c:v>FL - DG - NF - IE</c:v>
                </c:pt>
                <c:pt idx="4">
                  <c:v>BI - BM - DE</c:v>
                </c:pt>
                <c:pt idx="5">
                  <c:v>CC - CR - TC</c:v>
                </c:pt>
                <c:pt idx="6">
                  <c:v>PJ - DJ - DP - DJU - INT</c:v>
                </c:pt>
                <c:pt idx="7">
                  <c:v>CI</c:v>
                </c:pt>
              </c:strCache>
            </c:strRef>
          </c:cat>
          <c:val>
            <c:numRef>
              <c:f>'Avance Intermedio'!$F$13:$F$20</c:f>
              <c:numCache>
                <c:formatCode>0.0%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Horas registradas por semana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Horas realizadas</c:v>
          </c:tx>
          <c:spPr>
            <a:ln xmlns:a="http://schemas.openxmlformats.org/drawingml/2006/main">
              <a:solidFill>
                <a:srgbClr val="63BE7B"/>
              </a:solidFill>
            </a:ln>
          </c:spPr>
          <c:marker>
            <c:symbol val="none"/>
          </c:marker>
          <c:cat>
            <c:strRef>
              <c:f>'Avance Intermedio'!$A$25:$A$30</c:f>
              <c:strCache>
                <c:ptCount val="6"/>
                <c:pt idx="0">
                  <c:v>Semana 03</c:v>
                </c:pt>
                <c:pt idx="1">
                  <c:v>Semana 04</c:v>
                </c:pt>
                <c:pt idx="2">
                  <c:v>Semana 05</c:v>
                </c:pt>
                <c:pt idx="3">
                  <c:v>Semana 06</c:v>
                </c:pt>
                <c:pt idx="4">
                  <c:v>Semana 07</c:v>
                </c:pt>
                <c:pt idx="5">
                  <c:v>Semana 08</c:v>
                </c:pt>
              </c:strCache>
            </c:strRef>
          </c:cat>
          <c:val>
            <c:numRef>
              <c:f>'Avance Intermedio'!$B$25:$B$30</c:f>
              <c:numCache>
                <c:formatCode>#,##0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19</c:v>
                </c:pt>
              </c:numCache>
            </c:numRef>
          </c:val>
          <c:smooth val="0"/>
        </c:ser>
        <c:ser>
          <c:idx val="1"/>
          <c:order val="1"/>
          <c:tx>
            <c:v>Acumulado</c:v>
          </c:tx>
          <c:marker>
            <c:symbol val="none"/>
          </c:marker>
          <c:cat>
            <c:strRef>
              <c:f>'Avance Intermedio'!$A$25:$A$30</c:f>
              <c:strCache>
                <c:ptCount val="6"/>
                <c:pt idx="0">
                  <c:v>Semana 03</c:v>
                </c:pt>
                <c:pt idx="1">
                  <c:v>Semana 04</c:v>
                </c:pt>
                <c:pt idx="2">
                  <c:v>Semana 05</c:v>
                </c:pt>
                <c:pt idx="3">
                  <c:v>Semana 06</c:v>
                </c:pt>
                <c:pt idx="4">
                  <c:v>Semana 07</c:v>
                </c:pt>
                <c:pt idx="5">
                  <c:v>Semana 08</c:v>
                </c:pt>
              </c:strCache>
            </c:strRef>
          </c:cat>
          <c:val>
            <c:numRef>
              <c:f>'Avance Intermedio'!$D$25:$D$30</c:f>
              <c:numCache>
                <c:formatCode>#,##0</c:formatCode>
                <c:ptCount val="5"/>
                <c:pt idx="0">
                  <c:v>24</c:v>
                </c:pt>
                <c:pt idx="1">
                  <c:v>49</c:v>
                </c:pt>
                <c:pt idx="2">
                  <c:v>74</c:v>
                </c:pt>
                <c:pt idx="3">
                  <c:v>99</c:v>
                </c:pt>
                <c:pt idx="4">
                  <c:v>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349247</xdr:colOff>
      <xdr:row>15</xdr:row>
      <xdr:rowOff>158750</xdr:rowOff>
    </xdr:from>
    <xdr:to>
      <xdr:col>24</xdr:col>
      <xdr:colOff>349247</xdr:colOff>
      <xdr:row>28</xdr:row>
      <xdr:rowOff>158749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3a8f4e275544be"/>
        </a:graphicData>
      </a:graphic>
    </xdr:graphicFrame>
    <xdr:clientData/>
  </xdr:twoCellAnchor>
  <xdr:twoCellAnchor>
    <xdr:from>
      <xdr:col>12</xdr:col>
      <xdr:colOff>84664</xdr:colOff>
      <xdr:row>16</xdr:row>
      <xdr:rowOff>0</xdr:rowOff>
    </xdr:from>
    <xdr:to>
      <xdr:col>18</xdr:col>
      <xdr:colOff>84664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8afe5400714ce6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356952ac4343f7"/>
        </a:graphicData>
      </a:graphic>
    </xdr:graphicFrame>
    <xdr:clientData/>
  </xdr:twoCellAnchor>
  <xdr:twoCellAnchor>
    <xdr:from>
      <xdr:col>9</xdr:col>
      <xdr:colOff>0</xdr:colOff>
      <xdr:row>39</xdr:row>
      <xdr:rowOff>0</xdr:rowOff>
    </xdr:from>
    <xdr:to>
      <xdr:col>18</xdr:col>
      <xdr:colOff>0</xdr:colOff>
      <xdr:row>58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e8186b8ac64a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9f4bcda254d4649" /></Relationships>
</file>

<file path=xl/worksheets/sheet1.xml><?xml version="1.0" encoding="utf-8"?>
<x:worksheet xmlns:x="http://schemas.openxmlformats.org/spreadsheetml/2006/main">
  <x:sheetFormatPr defaultColWidth="12.6640625" defaultRowHeight="13.199999809265137"/>
  <x:cols>
    <x:col min="1" max="1" width="11.109375" customWidth="1"/>
    <x:col min="2" max="2" width="32" hidden="0" customWidth="1"/>
    <x:col min="3" max="3" width="5.77734375" customWidth="1"/>
    <x:col min="4" max="4" width="50" hidden="0" customWidth="1"/>
    <x:col min="5" max="5" width="48" hidden="0" customWidth="1"/>
    <x:col min="6" max="6" width="17" hidden="0" customWidth="1"/>
    <x:col min="7" max="7" width="15" hidden="0" customWidth="1"/>
  </x:cols>
  <x:sheetData>
    <x:row r="1" ht="26.399999618530273">
      <x:c r="A1" s="66" t="s">
        <x:v>0</x:v>
      </x:c>
      <x:c r="B1" s="66" t="s">
        <x:v>1</x:v>
      </x:c>
      <x:c r="C1" s="66" t="s">
        <x:v>2</x:v>
      </x:c>
      <x:c r="D1" s="66" t="s">
        <x:v>3</x:v>
      </x:c>
      <x:c r="E1" s="66" t="s">
        <x:v>4</x:v>
      </x:c>
      <x:c r="F1" s="66" t="s">
        <x:v>5</x:v>
      </x:c>
      <x:c r="G1" s="62" t="s">
        <x:v>6</x:v>
      </x:c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</x:row>
    <x:row r="2" ht="90" customHeight="1">
      <x:c r="A2" s="89" t="str">
        <x:v>AN</x:v>
      </x:c>
      <x:c r="B2" s="89" t="s">
        <x:v>7</x:v>
      </x:c>
      <x:c r="C2" s="90" t="n">
        <x:f>'03 al 14 AN'!C13</x:f>
        <x:v>40</x:v>
      </x:c>
      <x:c r="D2" s="89" t="str">
        <x:v>Análisis del flujo vigente, reglas, cálculos, PDF, confidencialidad y necesidades de integración con sad-aml-shared.</x:v>
      </x:c>
      <x:c r="E2" s="89" t="str">
        <x:v>Alcance del frontend, Chrome y criterios de aceptación definidos.</x:v>
      </x:c>
      <x:c r="F2" s="91" t="str">
        <x:f>IF(G2=1,"Terminado",IF(G2&gt;0,"En Proceso","Pendiente"))</x:f>
        <x:v>En Proceso</x:v>
      </x:c>
      <x:c r="G2" s="92" t="n">
        <x:f>'03 al 14 AN'!F13</x:f>
        <x:v>0.975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 ht="90" customHeight="1">
      <x:c r="A3" s="89" t="str">
        <x:v>FG</x:v>
      </x:c>
      <x:c r="B3" s="89" t="s">
        <x:v>8</x:v>
      </x:c>
      <x:c r="C3" s="90" t="n">
        <x:f>'17 al 28 FG'!C21</x:f>
        <x:v>40</x:v>
      </x:c>
      <x:c r="D3" s="89" t="str">
        <x:v>Definición visual del login, inicio informativo, introducción, doce pasos y juramento, usando el sistema de diseño existente.</x:v>
      </x:c>
      <x:c r="E3" s="89" t="str">
        <x:v>Pantallas, modales, estados y mensajes alineados con Figma.</x:v>
      </x:c>
      <x:c r="F3" s="91" t="str">
        <x:f>IF(G3=1,"Terminado",IF(G3&gt;0,"En Proceso","Pendiente"))</x:f>
        <x:v>Terminado</x:v>
      </x:c>
      <x:c r="G3" s="92" t="n">
        <x:f>'17 al 28 FG'!F21</x:f>
        <x:v>1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</x:row>
    <x:row r="4" ht="90" customHeight="1">
      <x:c r="A4" s="89" t="str">
        <x:v>ARQ</x:v>
      </x:c>
      <x:c r="B4" s="89" t="s">
        <x:v>9</x:v>
      </x:c>
      <x:c r="C4" s="90" t="n">
        <x:f>'31 al 11 ARQ - LG - PS - MD'!C13</x:f>
        <x:v>40</x:v>
      </x:c>
      <x:c r="D4" s="89" t="str">
        <x:v>Integración del arquetipo, contratos, login, inicio informativo y entrada al formulario con sad-aml-shared.</x:v>
      </x:c>
      <x:c r="E4" s="89" t="str">
        <x:v>Plan inicial corregido. Pendientes retomados en la siguiente quincena, sin sumar sus horas otra vez al trabajo futuro.</x:v>
      </x:c>
      <x:c r="F4" s="91" t="str">
        <x:f>IF(G4=1,"Terminado",IF(G4&gt;0,"En Proceso","Pendiente"))</x:f>
        <x:v>En Proceso</x:v>
      </x:c>
      <x:c r="G4" s="92" t="n">
        <x:f>'31 al 11 ARQ - LG - PS - MD'!F13</x:f>
        <x:v>0.1875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</x:row>
    <x:row r="5" ht="90" customHeight="1">
      <x:c r="A5" s="89" t="str">
        <x:v>ARQ - LG - PS - FL - DG</x:v>
      </x:c>
      <x:c r="B5" s="89" t="str">
        <x:v>14 al 25 de septiembre</x:v>
      </x:c>
      <x:c r="C5" s="90" t="n">
        <x:f>'14 al 25 SEP Inicio - P1'!C15</x:f>
        <x:v>40</x:v>
      </x:c>
      <x:c r="D5" s="89" t="str">
        <x:v>Inicio navegable y datos generales. Integración de sad-aml-shared, lógica propia del dominio y pruebas en Chrome.</x:v>
      </x:c>
      <x:c r="E5" s="89" t="str">
        <x:v>25/09: login, inicio informativo y acceso al paso 1 con validaciones.</x:v>
      </x:c>
      <x:c r="F5" s="91" t="str">
        <x:f>IF(G5=1,"Terminado",IF(G5&gt;0,"En Proceso","Pendiente"))</x:f>
        <x:v>Pendiente</x:v>
      </x:c>
      <x:c r="G5" s="92" t="n">
        <x:f>'14 al 25 SEP Inicio - P1'!F15</x:f>
        <x:v>0</x:v>
      </x:c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</x:row>
    <x:row r="6" ht="90" customHeight="1">
      <x:c r="A6" s="89" t="str">
        <x:v>NF - IE - BI - BM</x:v>
      </x:c>
      <x:c r="B6" s="89" t="str">
        <x:v>28 de septiembre al 9 de octubre</x:v>
      </x:c>
      <x:c r="C6" s="90" t="n">
        <x:f>'28 SEP al 09 OCT P2 - P5'!C13</x:f>
        <x:v>40</x:v>
      </x:c>
      <x:c r="D6" s="89" t="str">
        <x:v>Núcleo familiar, ingresos y bienes. Integración de sad-aml-shared, lógica propia del dominio y pruebas en Chrome.</x:v>
      </x:c>
      <x:c r="E6" s="89" t="str">
        <x:v>09/10: recorrido hasta el paso 5 con formularios, tablas y modales funcionales.</x:v>
      </x:c>
      <x:c r="F6" s="91" t="str">
        <x:f>IF(G6=1,"Terminado",IF(G6&gt;0,"En Proceso","Pendiente"))</x:f>
        <x:v>Pendiente</x:v>
      </x:c>
      <x:c r="G6" s="92" t="n">
        <x:f>'28 SEP al 09 OCT P2 - P5'!F13</x:f>
        <x:v>0</x:v>
      </x:c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</x:row>
    <x:row r="7" ht="90" customHeight="1">
      <x:c r="A7" s="89" t="str">
        <x:v>DE - CC - CR - TC - PJ</x:v>
      </x:c>
      <x:c r="B7" s="89" t="str">
        <x:v>12 al 23 de octubre</x:v>
      </x:c>
      <x:c r="C7" s="90" t="n">
        <x:f>'12 al 23 OCT P6 - P10'!C12</x:f>
        <x:v>40</x:v>
      </x:c>
      <x:c r="D7" s="89" t="str">
        <x:v>Productos financieros e inicio de personas jurídicas. Integración de sad-aml-shared, lógica propia del dominio y pruebas en Chrome.</x:v>
      </x:c>
      <x:c r="E7" s="89" t="str">
        <x:v>23/10: recorrido hasta el paso 9. Paso 10 iniciado para reducir carga del cierre.</x:v>
      </x:c>
      <x:c r="F7" s="91" t="str">
        <x:f>IF(G7=1,"Terminado",IF(G7&gt;0,"En Proceso","Pendiente"))</x:f>
        <x:v>Pendiente</x:v>
      </x:c>
      <x:c r="G7" s="92" t="n">
        <x:f>'12 al 23 OCT P6 - P10'!F12</x:f>
        <x:v>0</x:v>
      </x:c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</x:row>
    <x:row r="8" ht="90" customHeight="1">
      <x:c r="A8" s="89" t="str">
        <x:v>PJ - DJ - DP - DJU - INT</x:v>
      </x:c>
      <x:c r="B8" s="89" t="str">
        <x:v>26 al 30 de octubre</x:v>
      </x:c>
      <x:c r="C8" s="90" t="n">
        <x:f>'26 al 30 OCT P10 - Cierre'!C11</x:f>
        <x:v>40</x:v>
      </x:c>
      <x:c r="D8" s="89" t="str">
        <x:v>Cierre funcional de la declaración. Integración de sad-aml-shared, lógica propia del dominio y pruebas en Chrome.</x:v>
      </x:c>
      <x:c r="E8" s="89" t="str">
        <x:v>30/10: hito interno de flujo completo. La validación final se realiza del 02 al 06/11.</x:v>
      </x:c>
      <x:c r="F8" s="91" t="str">
        <x:f>IF(G8=1,"Terminado",IF(G8&gt;0,"En Proceso","Pendiente"))</x:f>
        <x:v>Pendiente</x:v>
      </x:c>
      <x:c r="G8" s="92" t="n">
        <x:f>'26 al 30 OCT P10 - Cierre'!F11</x:f>
        <x:v>0</x:v>
      </x:c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</x:row>
    <x:row r="9" ht="90" customHeight="1">
      <x:c r="A9" s="89" t="str">
        <x:v>CI</x:v>
      </x:c>
      <x:c r="B9" s="89" t="str">
        <x:v>2 al 6 de noviembre</x:v>
      </x:c>
      <x:c r="C9" s="90" t="n">
        <x:f>'02 al 06 NOV CI'!C8</x:f>
        <x:v>20</x:v>
      </x:c>
      <x:c r="D9" s="89" t="str">
        <x:v>Estabilización y entrega final. Integración de sad-aml-shared, lógica propia del dominio y pruebas en Chrome.</x:v>
      </x:c>
      <x:c r="E9" s="89" t="str">
        <x:v>06/11: seguimiento final, flujo completo probado en Chrome y entrega documentada.</x:v>
      </x:c>
      <x:c r="F9" s="91" t="str">
        <x:f>IF(G9=1,"Terminado",IF(G9&gt;0,"En Proceso","Pendiente"))</x:f>
        <x:v>Pendiente</x:v>
      </x:c>
      <x:c r="G9" s="92" t="n">
        <x:f>'02 al 06 NOV CI'!F8</x:f>
        <x:v>0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</x:row>
    <x:row r="10">
      <x:c r="A10" s="16"/>
      <x:c r="B10" s="3" t="str">
        <x:v>Total del plan</x:v>
      </x:c>
      <x:c r="C10" s="17" t="n">
        <x:f>SUM(C2:C9)</x:f>
        <x:v>300</x:v>
      </x:c>
      <x:c r="D10" s="16"/>
      <x:c r="E10" s="16"/>
      <x:c r="F10" s="8"/>
      <x:c r="G10" s="61" t="n">
        <x:f>'Avance Intermedio'!B9</x:f>
        <x:v>0.28833333333333333</x:v>
      </x:c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</x:row>
    <x:row r="12">
      <x:c r="A12" s="18" t="s">
        <x:v>10</x:v>
      </x:c>
      <x:c r="B12" s="18" t="s">
        <x:v>11</x:v>
      </x:c>
      <x:c r="D12" s="19" t="s">
        <x:v>12</x:v>
      </x:c>
      <x:c r="E12" s="20" t="n">
        <x:f>C10</x:f>
        <x:v>300</x:v>
      </x:c>
    </x:row>
    <x:row r="13">
      <x:c r="A13" s="10" t="s">
        <x:v>13</x:v>
      </x:c>
      <x:c r="B13" s="10" t="s">
        <x:v>14</x:v>
      </x:c>
      <x:c r="D13" s="21" t="str">
        <x:v>Pruebas y correcciones futuras</x:v>
      </x:c>
      <x:c r="E13" s="20" t="n">
        <x:f>SUM('14 al 25 SEP Inicio - P1'!C12,'28 SEP al 09 OCT P2 - P5'!C10,'12 al 23 OCT P6 - P10'!C9,'26 al 30 OCT P10 - Cierre'!C9,'02 al 06 NOV CI'!C3:C4)</x:f>
        <x:v>29</x:v>
      </x:c>
    </x:row>
    <x:row r="14">
      <x:c r="A14" s="10" t="s">
        <x:v>15</x:v>
      </x:c>
      <x:c r="B14" s="10" t="s">
        <x:v>16</x:v>
      </x:c>
      <x:c r="D14" s="21" t="str">
        <x:v>Seguimientos futuros</x:v>
      </x:c>
      <x:c r="E14" s="20" t="n">
        <x:f>SUM('14 al 25 SEP Inicio - P1'!C14,'28 SEP al 09 OCT P2 - P5'!C12,'12 al 23 OCT P6 - P10'!C11,'02 al 06 NOV CI'!C7)</x:f>
        <x:v>4</x:v>
      </x:c>
    </x:row>
    <x:row r="15">
      <x:c r="A15" s="10" t="s">
        <x:v>17</x:v>
      </x:c>
      <x:c r="B15" s="10" t="s">
        <x:v>18</x:v>
      </x:c>
    </x:row>
    <x:row r="16" ht="27" customHeight="1">
      <x:c r="A16" s="10" t="s">
        <x:v>19</x:v>
      </x:c>
      <x:c r="B16" s="10" t="s">
        <x:v>20</x:v>
      </x:c>
      <x:c r="D16" s="75" t="str">
        <x:v>Alcance y horas corregidos</x:v>
      </x:c>
      <x:c r="E16" s="75"/>
      <x:c r="F16" s="75"/>
      <x:c r="G16" s="75"/>
    </x:row>
    <x:row r="17" ht="27" customHeight="1">
      <x:c r="A17" s="10" t="s">
        <x:v>21</x:v>
      </x:c>
      <x:c r="B17" s="10" t="str">
        <x:v>Inicio informativo</x:v>
      </x:c>
      <x:c r="D17" s="75" t="str">
        <x:v>Horas futuras (14/09 al 06/11)</x:v>
      </x:c>
      <x:c r="E17" s="75"/>
      <x:c r="F17" s="75"/>
      <x:c r="G17" s="80" t="n">
        <x:f>SUM(C5:C9)</x:f>
        <x:v>180</x:v>
      </x:c>
    </x:row>
    <x:row r="18" ht="27" customHeight="1">
      <x:c r="A18" s="10" t="s">
        <x:v>22</x:v>
      </x:c>
      <x:c r="B18" s="10" t="str">
        <x:v>Entrada a Mi declaración</x:v>
      </x:c>
      <x:c r="D18" s="75" t="str">
        <x:v>Horas históricas registradas</x:v>
      </x:c>
      <x:c r="E18" s="75"/>
      <x:c r="F18" s="75"/>
      <x:c r="G18" s="80" t="n">
        <x:f>'Avance Intermedio'!B31</x:f>
        <x:v>143</x:v>
      </x:c>
    </x:row>
    <x:row r="19" ht="27" customHeight="1">
      <x:c r="A19" s="10" t="s">
        <x:v>23</x:v>
      </x:c>
      <x:c r="B19" s="10" t="s">
        <x:v>24</x:v>
      </x:c>
      <x:c r="D19" s="75" t="str">
        <x:v>Total previsto: reales + futuras</x:v>
      </x:c>
      <x:c r="E19" s="75"/>
      <x:c r="F19" s="75"/>
      <x:c r="G19" s="80" t="n">
        <x:f>SUM(G17:G18)</x:f>
        <x:v>323</x:v>
      </x:c>
    </x:row>
    <x:row r="20" ht="27" customHeight="1">
      <x:c r="A20" s="10" t="s">
        <x:v>25</x:v>
      </x:c>
      <x:c r="B20" s="10" t="s">
        <x:v>26</x:v>
      </x:c>
      <x:c r="D20" s="75" t="str">
        <x:v>Horas planificadas antes del 14/09</x:v>
      </x:c>
      <x:c r="E20" s="75"/>
      <x:c r="F20" s="75"/>
      <x:c r="G20" s="80" t="n">
        <x:f>SUM(C2:C4)</x:f>
        <x:v>120</x:v>
      </x:c>
    </x:row>
    <x:row r="21" ht="27" customHeight="1">
      <x:c r="A21" s="10" t="s">
        <x:v>27</x:v>
      </x:c>
      <x:c r="B21" s="10" t="s">
        <x:v>28</x:v>
      </x:c>
      <x:c r="D21" s="75" t="str">
        <x:v>Presupuesto original de referencia</x:v>
      </x:c>
      <x:c r="E21" s="75"/>
      <x:c r="F21" s="75"/>
      <x:c r="G21" s="80" t="n">
        <x:v>300</x:v>
      </x:c>
    </x:row>
    <x:row r="22" ht="27" customHeight="1">
      <x:c r="A22" s="10" t="s">
        <x:v>29</x:v>
      </x:c>
      <x:c r="B22" s="10" t="s">
        <x:v>30</x:v>
      </x:c>
      <x:c r="D22" s="75" t="str">
        <x:v>Variación del plan estimado</x:v>
      </x:c>
      <x:c r="E22" s="75"/>
      <x:c r="F22" s="75"/>
      <x:c r="G22" s="80" t="n">
        <x:f>C10-G21</x:f>
        <x:v>0</x:v>
      </x:c>
    </x:row>
    <x:row r="23">
      <x:c r="A23" s="10" t="s">
        <x:v>31</x:v>
      </x:c>
      <x:c r="B23" s="10" t="s">
        <x:v>32</x:v>
      </x:c>
    </x:row>
    <x:row r="24" ht="42" customHeight="1">
      <x:c r="A24" s="10" t="s">
        <x:v>33</x:v>
      </x:c>
      <x:c r="B24" s="10" t="s">
        <x:v>34</x:v>
      </x:c>
      <x:c r="D24" s="75" t="str">
        <x:v>Alcance: frontend con servicios simulados. Backend, autenticación y envío productivos no incluidos.</x:v>
      </x:c>
      <x:c r="E24" s="75"/>
      <x:c r="F24" s="75"/>
      <x:c r="G24" s="75"/>
    </x:row>
    <x:row r="25" ht="42" customHeight="1">
      <x:c r="A25" s="10" t="s">
        <x:v>35</x:v>
      </x:c>
      <x:c r="B25" s="10" t="str">
        <x:v>Depósitos y ahorros</x:v>
      </x:c>
      <x:c r="D25" s="75" t="str">
        <x:v>Reutilización de sad-aml-shared en todas las fases. El trabajo propio corresponde a composición, lógica y conexión de datos.</x:v>
      </x:c>
      <x:c r="E25" s="75"/>
      <x:c r="F25" s="75"/>
      <x:c r="G25" s="75"/>
    </x:row>
    <x:row r="26" ht="42" customHeight="1">
      <x:c r="A26" s="10" t="s">
        <x:v>36</x:v>
      </x:c>
      <x:c r="B26" s="10" t="s">
        <x:v>37</x:v>
      </x:c>
      <x:c r="D26" s="75" t="str">
        <x:v>Chrome es el único navegador objetivo del alcance.</x:v>
      </x:c>
      <x:c r="E26" s="75"/>
      <x:c r="F26" s="75"/>
      <x:c r="G26" s="75"/>
    </x:row>
    <x:row r="27" ht="42" customHeight="1">
      <x:c r="A27" s="10" t="s">
        <x:v>38</x:v>
      </x:c>
      <x:c r="B27" s="10" t="s">
        <x:v>39</x:v>
      </x:c>
      <x:c r="D27" s="75" t="str">
        <x:v>Se restablecen 40 h por hoja de detalle y 20 h para cierre. El tramo del 26/10 al 06/11 requiere 60 h (40 + 20).</x:v>
      </x:c>
      <x:c r="E27" s="75"/>
      <x:c r="F27" s="75"/>
      <x:c r="G27" s="75"/>
    </x:row>
    <x:row r="28" ht="42" customHeight="1">
      <x:c r="A28" s="10" t="s">
        <x:v>40</x:v>
      </x:c>
      <x:c r="B28" s="10" t="s">
        <x:v>41</x:v>
      </x:c>
      <x:c r="D28" s="75" t="str">
        <x:v>Seguimientos propuestos: 25/09, 09/10, 23/10 y 06/11. Confirmar agenda con el supervisor.</x:v>
      </x:c>
      <x:c r="E28" s="75"/>
      <x:c r="F28" s="75"/>
      <x:c r="G28" s="75"/>
    </x:row>
    <x:row r="29" ht="42" customHeight="1">
      <x:c r="A29" s="10" t="s">
        <x:v>42</x:v>
      </x:c>
      <x:c r="B29" s="10" t="s">
        <x:v>43</x:v>
      </x:c>
      <x:c r="D29" s="75" t="str">
        <x:v>Las horas del plan son estimaciones, no horas realizadas. El total previsto suma las horas registradas y el trabajo futuro.</x:v>
      </x:c>
      <x:c r="E29" s="75"/>
      <x:c r="F29" s="75"/>
      <x:c r="G29" s="75"/>
    </x:row>
    <x:row r="30" ht="42" customHeight="1">
      <x:c r="A30" s="10" t="s">
        <x:v>44</x:v>
      </x:c>
      <x:c r="B30" s="10" t="s">
        <x:v>45</x:v>
      </x:c>
      <x:c r="D30" s="75" t="str">
        <x:v>Avance por estado: Pendiente 0 %, En Proceso 50 %, Terminado 100 %. Es una aproximación ponderada por horas.</x:v>
      </x:c>
      <x:c r="E30" s="75"/>
      <x:c r="F30" s="75"/>
      <x:c r="G30" s="75"/>
    </x:row>
    <x:row r="31" ht="42" customHeight="1">
      <x:c r="A31" s="10" t="s">
        <x:v>46</x:v>
      </x:c>
      <x:c r="B31" s="10" t="str">
        <x:v>Cuestionario confidencial</x:v>
      </x:c>
      <x:c r="D31" s="75" t="str">
        <x:v>Las tareas anteriores también se reformulan para reflejar sad-aml-shared. Las bitácoras y sus horas reales permanecen intactas.</x:v>
      </x:c>
      <x:c r="E31" s="75"/>
      <x:c r="F31" s="75"/>
      <x:c r="G31" s="75"/>
    </x:row>
    <x:row r="32" ht="42" customHeight="1">
      <x:c r="A32" s="10" t="s">
        <x:v>47</x:v>
      </x:c>
      <x:c r="B32" s="10" t="s">
        <x:v>48</x:v>
      </x:c>
      <x:c r="D32" s="75" t="str">
        <x:v>El avance se recalcula con las horas redistribuidas y los estados existentes. Esta revisión no certifica nueva ejecución.</x:v>
      </x:c>
      <x:c r="E32" s="75"/>
      <x:c r="F32" s="75"/>
      <x:c r="G32" s="75"/>
    </x:row>
    <x:row r="33" ht="42" customHeight="1">
      <x:c r="A33" s="10" t="s">
        <x:v>49</x:v>
      </x:c>
      <x:c r="B33" s="10" t="s">
        <x:v>50</x:v>
      </x:c>
      <x:c r="D33" s="75" t="str">
        <x:v>Las estimaciones requieren que los controles compartidos cubran lo previsto. Confirmar brechas y revisar capacidad en el primer seguimiento.</x:v>
      </x:c>
      <x:c r="E33" s="75"/>
      <x:c r="F33" s="75"/>
      <x:c r="G33" s="75"/>
    </x:row>
    <x:row r="34" ht="42" customHeight="1">
      <x:c r="A34" s="10" t="s">
        <x:v>51</x:v>
      </x:c>
      <x:c r="B34" s="10" t="s">
        <x:v>52</x:v>
      </x:c>
      <x:c r="D34" s="75" t="str">
        <x:v>https://www.figma.com/design/pVGHV6WqzhsvQZ3goaRYnE?node-id=43121-6798</x:v>
      </x:c>
      <x:c r="E34" s="75"/>
      <x:c r="F34" s="75"/>
      <x:c r="G34" s="75"/>
    </x:row>
    <x:row r="35" ht="42" customHeight="1">
      <x:c r="A35" s="21" t="s">
        <x:v>53</x:v>
      </x:c>
      <x:c r="B35" s="21" t="s">
        <x:v>54</x:v>
      </x:c>
      <x:c r="D35" s="75" t="str">
        <x:v>https://www.figma.com/design/pVGHV6WqzhsvQZ3goaRYnE?node-id=43121-1459</x:v>
      </x:c>
      <x:c r="E35" s="75"/>
      <x:c r="F35" s="75"/>
      <x:c r="G35" s="75"/>
    </x:row>
    <x:row r="36">
      <x:c r="A36" s="21" t="s">
        <x:v>55</x:v>
      </x:c>
      <x:c r="B36" s="21" t="s">
        <x:v>56</x:v>
      </x:c>
    </x:row>
  </x:sheetData>
  <x:mergeCells>
    <x:mergeCell ref="D16:G16"/>
    <x:mergeCell ref="D17:F17"/>
    <x:mergeCell ref="D18:F18"/>
    <x:mergeCell ref="D19:F19"/>
    <x:mergeCell ref="D20:F20"/>
    <x:mergeCell ref="D21:F21"/>
    <x:mergeCell ref="D22:F22"/>
    <x:mergeCell ref="D24:G24"/>
    <x:mergeCell ref="D25:G25"/>
    <x:mergeCell ref="D26:G26"/>
    <x:mergeCell ref="D27:G27"/>
    <x:mergeCell ref="D28:G28"/>
    <x:mergeCell ref="D29:G29"/>
    <x:mergeCell ref="D30:G30"/>
    <x:mergeCell ref="D31:G31"/>
    <x:mergeCell ref="D32:G32"/>
    <x:mergeCell ref="D33:G33"/>
    <x:mergeCell ref="D34:G34"/>
    <x:mergeCell ref="D35:G35"/>
  </x:mergeCells>
  <x:conditionalFormatting sqref="F2:F9">
    <x:cfRule type="containsText" dxfId="5" priority="2" operator="containsText" text="Pendiente">
      <x:formula>NOT(ISERROR(SEARCH("Pendiente",F2)))</x:formula>
    </x:cfRule>
    <x:cfRule type="containsText" dxfId="4" priority="3" operator="containsText" text="En Proceso">
      <x:formula>NOT(ISERROR(SEARCH("En Proceso",F2)))</x:formula>
    </x:cfRule>
    <x:cfRule type="containsText" dxfId="3" priority="4" operator="containsText" text="Terminado">
      <x:formula>NOT(ISERROR(SEARCH("Terminado",F2)))</x:formula>
    </x:cfRule>
  </x:conditionalFormatting>
  <x:conditionalFormatting sqref="G2:G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F2:F9">
      <x:formula1>"En Proceso,Pendiente,Terminado"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640625" defaultRowHeight="13.199999809265137"/>
  <x:cols>
    <x:col min="1" max="1" width="12.44140625" customWidth="1"/>
    <x:col min="2" max="2" width="44.44140625" customWidth="1"/>
    <x:col min="3" max="3" width="10" customWidth="1"/>
    <x:col min="4" max="4" width="65" hidden="0" customWidth="1"/>
    <x:col min="5" max="5" width="14.44140625" customWidth="1"/>
    <x:col min="6" max="6" width="12.44140625" customWidth="1"/>
  </x:cols>
  <x:sheetData>
    <x:row r="1" ht="30" customHeight="1">
      <x:c r="A1" s="1" t="str">
        <x:v>Análisis del alcance vigente</x:v>
      </x:c>
      <x:c r="B1" s="1"/>
      <x:c r="C1" s="1"/>
      <x:c r="D1" s="1"/>
      <x:c r="E1" s="1"/>
    </x:row>
    <x:row r="2" ht="26.399999618530273">
      <x:c r="A2" s="6" t="s">
        <x:v>57</x:v>
      </x:c>
      <x:c r="B2" s="6" t="s">
        <x:v>58</x:v>
      </x:c>
      <x:c r="C2" s="6" t="s">
        <x:v>59</x:v>
      </x:c>
      <x:c r="D2" s="6" t="s">
        <x:v>60</x:v>
      </x:c>
      <x:c r="E2" s="6" t="s">
        <x:v>5</x:v>
      </x:c>
      <x:c r="F2" s="43" t="s">
        <x:v>61</x:v>
      </x:c>
    </x:row>
    <x:row r="3" ht="54" customHeight="1">
      <x:c r="A3" s="8" t="s">
        <x:v>62</x:v>
      </x:c>
      <x:c r="B3" s="97" t="str">
        <x:v>Verificar inducción, accesos y recursos disponibles</x:v>
      </x:c>
      <x:c r="C3" s="98">
        <x:v>5</x:v>
      </x:c>
      <x:c r="D3" s="97" t="str">
        <x:v>Recursos y ambiente de trabajo identificados. Registrar dependencias pendientes.</x:v>
      </x:c>
      <x:c r="E3" s="10" t="s">
        <x:v>63</x:v>
      </x:c>
      <x:c r="F3" s="46" t="n">
        <x:f t="shared" ref="F3:F12" si="0">IF(E3="Terminado",1,IF(E3="En Proceso",0.5,0))</x:f>
        <x:v>1</x:v>
      </x:c>
    </x:row>
    <x:row r="4" ht="54" customHeight="1">
      <x:c r="A4" s="8" t="s">
        <x:v>64</x:v>
      </x:c>
      <x:c r="B4" s="97" t="str">
        <x:v>Analizar login, inicio informativo y acceso a Mi declaración</x:v>
      </x:c>
      <x:c r="C4" s="98">
        <x:v>4</x:v>
      </x:c>
      <x:c r="D4" s="97" t="str">
        <x:v>Flujo de entrada con información de DecPat, ayuda y modal introductorio identificado.</x:v>
      </x:c>
      <x:c r="E4" s="10" t="s">
        <x:v>63</x:v>
      </x:c>
      <x:c r="F4" s="46" t="n">
        <x:f t="shared" si="0">IF(E4="Terminado",1,IF(E4="En Proceso",0.5,0))</x:f>
        <x:v>1</x:v>
      </x:c>
    </x:row>
    <x:row r="5" ht="54" customHeight="1">
      <x:c r="A5" s="8" t="s">
        <x:v>65</x:v>
      </x:c>
      <x:c r="B5" s="97" t="str">
        <x:v>Analizar Datos generales, Núcleo familiar e Ingresos y egresos</x:v>
      </x:c>
      <x:c r="C5" s="98">
        <x:v>5</x:v>
      </x:c>
      <x:c r="D5" s="97" t="str">
        <x:v>Campos, reglas, cálculos, PDF y operaciones de los pasos 1 a 3 identificados.</x:v>
      </x:c>
      <x:c r="E5" s="10" t="s">
        <x:v>63</x:v>
      </x:c>
      <x:c r="F5" s="46" t="n">
        <x:f t="shared" si="0">IF(E5="Terminado",1,IF(E5="En Proceso",0.5,0))</x:f>
        <x:v>1</x:v>
      </x:c>
    </x:row>
    <x:row r="6" ht="54" customHeight="1">
      <x:c r="A6" s="8" t="s">
        <x:v>66</x:v>
      </x:c>
      <x:c r="B6" s="97" t="str">
        <x:v>Analizar Bienes inmuebles, Bienes muebles y Depósitos y ahorros</x:v>
      </x:c>
      <x:c r="C6" s="98">
        <x:v>5</x:v>
      </x:c>
      <x:c r="D6" s="97" t="str">
        <x:v>Listados, formularios dentro de modales, monedas y operaciones de los pasos 4 a 6.</x:v>
      </x:c>
      <x:c r="E6" s="10" t="s">
        <x:v>63</x:v>
      </x:c>
      <x:c r="F6" s="46" t="n">
        <x:f t="shared" si="0">IF(E6="Terminado",1,IF(E6="En Proceso",0.5,0))</x:f>
        <x:v>1</x:v>
      </x:c>
    </x:row>
    <x:row r="7" ht="54" customHeight="1">
      <x:c r="A7" s="8" t="s">
        <x:v>67</x:v>
      </x:c>
      <x:c r="B7" s="97" t="str">
        <x:v>Analizar Cuentas corrientes, Créditos y Tarjetas de crédito</x:v>
      </x:c>
      <x:c r="C7" s="98">
        <x:v>5</x:v>
      </x:c>
      <x:c r="D7" s="97" t="str">
        <x:v>Datos, cálculos, validaciones y estados de los pasos 7 a 9 identificados.</x:v>
      </x:c>
      <x:c r="E7" s="10" t="s">
        <x:v>63</x:v>
      </x:c>
      <x:c r="F7" s="46" t="n">
        <x:f t="shared" si="0">IF(E7="Terminado",1,IF(E7="En Proceso",0.5,0))</x:f>
        <x:v>1</x:v>
      </x:c>
    </x:row>
    <x:row r="8" ht="54" customHeight="1">
      <x:c r="A8" s="8" t="s">
        <x:v>68</x:v>
      </x:c>
      <x:c r="B8" s="97" t="str">
        <x:v>Analizar Personería jurídica, Datos judiciales, cuestionario confidencial y juramento</x:v>
      </x:c>
      <x:c r="C8" s="98">
        <x:v>5</x:v>
      </x:c>
      <x:c r="D8" s="97" t="str">
        <x:v>Cierre del flujo identificado. Las respuestas confidenciales se separan de los datos patrimoniales.</x:v>
      </x:c>
      <x:c r="E8" s="10" t="s">
        <x:v>63</x:v>
      </x:c>
      <x:c r="F8" s="46" t="n">
        <x:f t="shared" si="0">IF(E8="Terminado",1,IF(E8="En Proceso",0.5,0))</x:f>
        <x:v>1</x:v>
      </x:c>
    </x:row>
    <x:row r="9" ht="54" customHeight="1">
      <x:c r="A9" s="8" t="s">
        <x:v>69</x:v>
      </x:c>
      <x:c r="B9" s="97" t="str">
        <x:v>Inventariar necesidades de integración con sad-aml-shared</x:v>
      </x:c>
      <x:c r="C9" s="98">
        <x:v>3</x:v>
      </x:c>
      <x:c r="D9" s="97" t="str">
        <x:v>Mapeo de controles, tablas, modales y mensajes requeridos. Sin estimar una biblioteca nueva.</x:v>
      </x:c>
      <x:c r="E9" s="10" t="s">
        <x:v>63</x:v>
      </x:c>
      <x:c r="F9" s="46" t="n">
        <x:f t="shared" si="0">IF(E9="Terminado",1,IF(E9="En Proceso",0.5,0))</x:f>
        <x:v>1</x:v>
      </x:c>
    </x:row>
    <x:row r="10" ht="54" customHeight="1">
      <x:c r="A10" s="8" t="s">
        <x:v>70</x:v>
      </x:c>
      <x:c r="B10" s="97" t="str">
        <x:v>Definir alcance, exclusiones y criterios de aceptación</x:v>
      </x:c>
      <x:c r="C10" s="98">
        <x:v>3</x:v>
      </x:c>
      <x:c r="D10" s="97" t="str">
        <x:v>Frontend con mocks, Chrome y entregas navegables quincenales.</x:v>
      </x:c>
      <x:c r="E10" s="10" t="s">
        <x:v>63</x:v>
      </x:c>
      <x:c r="F10" s="46" t="n">
        <x:f t="shared" si="0">IF(E10="Terminado",1,IF(E10="En Proceso",0.5,0))</x:f>
        <x:v>1</x:v>
      </x:c>
    </x:row>
    <x:row r="11" ht="54" customHeight="1">
      <x:c r="A11" s="8" t="s">
        <x:v>71</x:v>
      </x:c>
      <x:c r="B11" s="97" t="str">
        <x:v>Estimar tareas de integración y lógica de negocio</x:v>
      </x:c>
      <x:c r="C11" s="98">
        <x:v>4</x:v>
      </x:c>
      <x:c r="D11" s="97" t="str">
        <x:v>Cronograma por entregables, dependencias y pruebas, sujeto a seguimiento.</x:v>
      </x:c>
      <x:c r="E11" s="10" t="s">
        <x:v>63</x:v>
      </x:c>
      <x:c r="F11" s="46" t="n">
        <x:f t="shared" si="0">IF(E11="Terminado",1,IF(E11="En Proceso",0.5,0))</x:f>
        <x:v>1</x:v>
      </x:c>
    </x:row>
    <x:row r="12" ht="54" customHeight="1">
      <x:c r="A12" s="11" t="s">
        <x:v>72</x:v>
      </x:c>
      <x:c r="B12" s="99" t="str">
        <x:v>Realizar seguimiento quincenal</x:v>
      </x:c>
      <x:c r="C12" s="100">
        <x:v>1</x:v>
      </x:c>
      <x:c r="D12" s="99" t="str">
        <x:v>Revisión de alcance y registro de acuerdos con el supervisor.</x:v>
      </x:c>
      <x:c r="E12" s="13" t="s">
        <x:v>73</x:v>
      </x:c>
      <x:c r="F12" s="46" t="n">
        <x:f t="shared" si="0">IF(E12="Terminado",1,IF(E12="En Proceso",0.5,0))</x:f>
        <x:v>0</x:v>
      </x:c>
    </x:row>
    <x:row r="13">
      <x:c r="A13" s="8"/>
      <x:c r="B13" s="14" t="s">
        <x:v>74</x:v>
      </x:c>
      <x:c r="C13" s="15" t="n">
        <x:f>SUM(C3:C12)</x:f>
        <x:v>40</x:v>
      </x:c>
      <x:c r="D13" s="8"/>
      <x:c r="F13" s="46" t="n">
        <x:f>SUMPRODUCT(C3:C12,F3:F12)/C13</x:f>
        <x:v>0.975</x:v>
      </x:c>
    </x:row>
    <x:row r="15" ht="36" customHeight="1">
      <x:c r="A15" s="88" t="str">
        <x:v>Descripciones corregidas al alcance vigente. No se añaden horas realizadas ni se acreditan nuevas tareas terminadas.</x:v>
      </x:c>
      <x:c r="B15" s="88"/>
      <x:c r="C15" s="88"/>
      <x:c r="D15" s="88"/>
      <x:c r="E15" s="88"/>
      <x:c r="F15" s="88"/>
    </x:row>
  </x:sheetData>
  <x:mergeCells>
    <x:mergeCell ref="A1:F1"/>
    <x:mergeCell ref="A15:F15"/>
  </x:mergeCells>
  <x:dataValidations count="1">
    <x:dataValidation type="list" allowBlank="1" showErrorMessage="1" sqref="E3:E12">
      <x:formula1>"En Proceso,Pendiente,Terminado"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640625" defaultRowHeight="13.199999809265137"/>
  <x:cols>
    <x:col min="2" max="2" width="44.21875" customWidth="1"/>
    <x:col min="4" max="4" width="65" hidden="0" customWidth="1"/>
    <x:col min="5" max="5" width="13.6640625" customWidth="1"/>
    <x:col min="6" max="6" width="12.44140625" customWidth="1"/>
  </x:cols>
  <x:sheetData>
    <x:row r="1" ht="30" customHeight="1">
      <x:c r="A1" s="2" t="str">
        <x:v>Definición visual con componentes existentes</x:v>
      </x:c>
      <x:c r="B1" s="4"/>
      <x:c r="C1" s="5"/>
      <x:c r="D1" s="4"/>
    </x:row>
    <x:row r="2" ht="26.399999618530273">
      <x:c r="A2" s="6" t="s">
        <x:v>57</x:v>
      </x:c>
      <x:c r="B2" s="6" t="s">
        <x:v>58</x:v>
      </x:c>
      <x:c r="C2" s="6" t="s">
        <x:v>59</x:v>
      </x:c>
      <x:c r="D2" s="6" t="s">
        <x:v>60</x:v>
      </x:c>
      <x:c r="E2" s="6" t="s">
        <x:v>5</x:v>
      </x:c>
      <x:c r="F2" s="43" t="s">
        <x:v>61</x:v>
      </x:c>
    </x:row>
    <x:row r="3" ht="40" customHeight="1">
      <x:c r="A3" s="8" t="s">
        <x:v>75</x:v>
      </x:c>
      <x:c r="B3" s="97" t="str">
        <x:v>Alinear el flujo visual con el sistema de diseño existente</x:v>
      </x:c>
      <x:c r="C3" s="98">
        <x:v>3</x:v>
      </x:c>
      <x:c r="D3" s="97" t="str">
        <x:v>Navegación y patrones visuales de referencia. Reutilizar controles existentes.</x:v>
      </x:c>
      <x:c r="E3" s="10" t="s">
        <x:v>63</x:v>
      </x:c>
      <x:c r="F3" s="46" t="n">
        <x:f t="shared" ref="F3:F20" si="0">IF(E3="Terminado",1,IF(E3="En Proceso",0.5,0))</x:f>
        <x:v>1</x:v>
      </x:c>
    </x:row>
    <x:row r="4" ht="40" customHeight="1">
      <x:c r="A4" s="8" t="s">
        <x:v>76</x:v>
      </x:c>
      <x:c r="B4" s="97" t="str">
        <x:v>Definir el login y sus estados en Figma</x:v>
      </x:c>
      <x:c r="C4" s="98">
        <x:v>2</x:v>
      </x:c>
      <x:c r="D4" s="97" t="str">
        <x:v>Login, validaciones, errores, bloqueo y ayuda documentados.</x:v>
      </x:c>
      <x:c r="E4" s="10" t="s">
        <x:v>63</x:v>
      </x:c>
      <x:c r="F4" s="46" t="n">
        <x:f t="shared" si="0">IF(E4="Terminado",1,IF(E4="En Proceso",0.5,0))</x:f>
        <x:v>1</x:v>
      </x:c>
    </x:row>
    <x:row r="5" ht="40" customHeight="1">
      <x:c r="A5" s="8" t="s">
        <x:v>77</x:v>
      </x:c>
      <x:c r="B5" s="97" t="str">
        <x:v>Definir la pantalla de inicio informativa</x:v>
      </x:c>
      <x:c r="C5" s="98">
        <x:v>2</x:v>
      </x:c>
      <x:c r="D5" s="97" t="str">
        <x:v>Información de DecPat, ayuda y acceso lateral a Mi declaración.</x:v>
      </x:c>
      <x:c r="E5" s="10" t="s">
        <x:v>63</x:v>
      </x:c>
      <x:c r="F5" s="46" t="n">
        <x:f t="shared" si="0">IF(E5="Terminado",1,IF(E5="En Proceso",0.5,0))</x:f>
        <x:v>1</x:v>
      </x:c>
    </x:row>
    <x:row r="6" ht="40" customHeight="1">
      <x:c r="A6" s="8" t="s">
        <x:v>78</x:v>
      </x:c>
      <x:c r="B6" s="97" t="str">
        <x:v>Definir el modal de introducción y entrada al formulario</x:v>
      </x:c>
      <x:c r="C6" s="98">
        <x:v>2</x:v>
      </x:c>
      <x:c r="D6" s="97" t="str">
        <x:v>Acceso al paso 1 sin duplicar pantallas de entrada.</x:v>
      </x:c>
      <x:c r="E6" s="10" t="s">
        <x:v>63</x:v>
      </x:c>
      <x:c r="F6" s="46" t="n">
        <x:f t="shared" si="0">IF(E6="Terminado",1,IF(E6="En Proceso",0.5,0))</x:f>
        <x:v>1</x:v>
      </x:c>
    </x:row>
    <x:row r="7" ht="40" customHeight="1">
      <x:c r="A7" s="8" t="s">
        <x:v>79</x:v>
      </x:c>
      <x:c r="B7" s="97" t="str">
        <x:v>Definir Datos generales</x:v>
      </x:c>
      <x:c r="C7" s="98">
        <x:v>2</x:v>
      </x:c>
      <x:c r="D7" s="97" t="str">
        <x:v>Paso 1 y estados de sus controles.</x:v>
      </x:c>
      <x:c r="E7" s="10" t="s">
        <x:v>63</x:v>
      </x:c>
      <x:c r="F7" s="46" t="n">
        <x:f t="shared" si="0">IF(E7="Terminado",1,IF(E7="En Proceso",0.5,0))</x:f>
        <x:v>1</x:v>
      </x:c>
    </x:row>
    <x:row r="8" ht="40" customHeight="1">
      <x:c r="A8" s="8" t="s">
        <x:v>80</x:v>
      </x:c>
      <x:c r="B8" s="97" t="str">
        <x:v>Definir Núcleo familiar y su modal</x:v>
      </x:c>
      <x:c r="C8" s="98">
        <x:v>2</x:v>
      </x:c>
      <x:c r="D8" s="97" t="str">
        <x:v>Paso 2 con listado, alta, edición, eliminación y estados vacíos.</x:v>
      </x:c>
      <x:c r="E8" s="10" t="s">
        <x:v>63</x:v>
      </x:c>
      <x:c r="F8" s="46" t="n">
        <x:f t="shared" si="0">IF(E8="Terminado",1,IF(E8="En Proceso",0.5,0))</x:f>
        <x:v>1</x:v>
      </x:c>
    </x:row>
    <x:row r="9" ht="40" customHeight="1">
      <x:c r="A9" s="8" t="s">
        <x:v>81</x:v>
      </x:c>
      <x:c r="B9" s="97" t="str">
        <x:v>Definir Ingresos y egresos y el manejo de PDF</x:v>
      </x:c>
      <x:c r="C9" s="98">
        <x:v>3</x:v>
      </x:c>
      <x:c r="D9" s="97" t="str">
        <x:v>Paso 3 con campos, cálculos, archivo y mensajes de error.</x:v>
      </x:c>
      <x:c r="E9" s="10" t="s">
        <x:v>63</x:v>
      </x:c>
      <x:c r="F9" s="46" t="n">
        <x:f t="shared" si="0">IF(E9="Terminado",1,IF(E9="En Proceso",0.5,0))</x:f>
        <x:v>1</x:v>
      </x:c>
    </x:row>
    <x:row r="10" ht="40" customHeight="1">
      <x:c r="A10" s="8" t="s">
        <x:v>82</x:v>
      </x:c>
      <x:c r="B10" s="97" t="str">
        <x:v>Definir Bienes inmuebles y su modal</x:v>
      </x:c>
      <x:c r="C10" s="98">
        <x:v>3</x:v>
      </x:c>
      <x:c r="D10" s="97" t="str">
        <x:v>Paso 4 con listado y formulario de registro dentro del modal.</x:v>
      </x:c>
      <x:c r="E10" s="10" t="s">
        <x:v>63</x:v>
      </x:c>
      <x:c r="F10" s="46" t="n">
        <x:f t="shared" si="0">IF(E10="Terminado",1,IF(E10="En Proceso",0.5,0))</x:f>
        <x:v>1</x:v>
      </x:c>
    </x:row>
    <x:row r="11" ht="40" customHeight="1">
      <x:c r="A11" s="8" t="s">
        <x:v>83</x:v>
      </x:c>
      <x:c r="B11" s="97" t="str">
        <x:v>Definir Bienes muebles y su modal</x:v>
      </x:c>
      <x:c r="C11" s="98">
        <x:v>3</x:v>
      </x:c>
      <x:c r="D11" s="97" t="str">
        <x:v>Paso 5 con listado, formulario y condiciones.</x:v>
      </x:c>
      <x:c r="E11" s="10" t="s">
        <x:v>63</x:v>
      </x:c>
      <x:c r="F11" s="46" t="n">
        <x:f t="shared" si="0">IF(E11="Terminado",1,IF(E11="En Proceso",0.5,0))</x:f>
        <x:v>1</x:v>
      </x:c>
    </x:row>
    <x:row r="12" ht="40" customHeight="1">
      <x:c r="A12" s="8" t="s">
        <x:v>84</x:v>
      </x:c>
      <x:c r="B12" s="97" t="str">
        <x:v>Definir Depósitos y ahorros</x:v>
      </x:c>
      <x:c r="C12" s="98">
        <x:v>2</x:v>
      </x:c>
      <x:c r="D12" s="97" t="str">
        <x:v>Paso 6 con monedas, totales y operaciones.</x:v>
      </x:c>
      <x:c r="E12" s="10" t="s">
        <x:v>63</x:v>
      </x:c>
      <x:c r="F12" s="46" t="n">
        <x:f t="shared" si="0">IF(E12="Terminado",1,IF(E12="En Proceso",0.5,0))</x:f>
        <x:v>1</x:v>
      </x:c>
    </x:row>
    <x:row r="13" ht="40" customHeight="1">
      <x:c r="A13" s="8" t="s">
        <x:v>85</x:v>
      </x:c>
      <x:c r="B13" s="97" t="str">
        <x:v>Definir Cuentas corrientes</x:v>
      </x:c>
      <x:c r="C13" s="98">
        <x:v>2</x:v>
      </x:c>
      <x:c r="D13" s="97" t="str">
        <x:v>Paso 7 con campos, listado y modal.</x:v>
      </x:c>
      <x:c r="E13" s="10" t="s">
        <x:v>63</x:v>
      </x:c>
      <x:c r="F13" s="46" t="n">
        <x:f t="shared" si="0">IF(E13="Terminado",1,IF(E13="En Proceso",0.5,0))</x:f>
        <x:v>1</x:v>
      </x:c>
    </x:row>
    <x:row r="14" ht="40" customHeight="1">
      <x:c r="A14" s="8" t="s">
        <x:v>86</x:v>
      </x:c>
      <x:c r="B14" s="97" t="str">
        <x:v>Definir Créditos</x:v>
      </x:c>
      <x:c r="C14" s="98">
        <x:v>3</x:v>
      </x:c>
      <x:c r="D14" s="97" t="str">
        <x:v>Paso 8 con cuotas, saldos y validaciones.</x:v>
      </x:c>
      <x:c r="E14" s="10" t="s">
        <x:v>63</x:v>
      </x:c>
      <x:c r="F14" s="46" t="n">
        <x:f t="shared" si="0">IF(E14="Terminado",1,IF(E14="En Proceso",0.5,0))</x:f>
        <x:v>1</x:v>
      </x:c>
    </x:row>
    <x:row r="15" ht="40" customHeight="1">
      <x:c r="A15" s="8" t="s">
        <x:v>87</x:v>
      </x:c>
      <x:c r="B15" s="97" t="str">
        <x:v>Definir Tarjetas de crédito</x:v>
      </x:c>
      <x:c r="C15" s="98">
        <x:v>2</x:v>
      </x:c>
      <x:c r="D15" s="97" t="str">
        <x:v>Paso 9 con monedas, cuotas y saldos.</x:v>
      </x:c>
      <x:c r="E15" s="10" t="s">
        <x:v>63</x:v>
      </x:c>
      <x:c r="F15" s="46" t="n">
        <x:f t="shared" si="0">IF(E15="Terminado",1,IF(E15="En Proceso",0.5,0))</x:f>
        <x:v>1</x:v>
      </x:c>
    </x:row>
    <x:row r="16" ht="40" customHeight="1">
      <x:c r="A16" s="8" t="s">
        <x:v>88</x:v>
      </x:c>
      <x:c r="B16" s="97" t="str">
        <x:v>Definir Personería jurídica y sociedades</x:v>
      </x:c>
      <x:c r="C16" s="98">
        <x:v>3</x:v>
      </x:c>
      <x:c r="D16" s="97" t="str">
        <x:v>Paso 10 con sus dos modales y campos condicionales.</x:v>
      </x:c>
      <x:c r="E16" s="10" t="s">
        <x:v>63</x:v>
      </x:c>
      <x:c r="F16" s="46" t="n">
        <x:f t="shared" si="0">IF(E16="Terminado",1,IF(E16="En Proceso",0.5,0))</x:f>
        <x:v>1</x:v>
      </x:c>
    </x:row>
    <x:row r="17" ht="40" customHeight="1">
      <x:c r="A17" s="8" t="s">
        <x:v>89</x:v>
      </x:c>
      <x:c r="B17" s="97" t="str">
        <x:v>Definir Datos judiciales</x:v>
      </x:c>
      <x:c r="C17" s="98">
        <x:v>2</x:v>
      </x:c>
      <x:c r="D17" s="97" t="str">
        <x:v>Paso 11 y sus condiciones de captura.</x:v>
      </x:c>
      <x:c r="E17" s="10" t="s">
        <x:v>63</x:v>
      </x:c>
      <x:c r="F17" s="46" t="n">
        <x:f t="shared" si="0">IF(E17="Terminado",1,IF(E17="En Proceso",0.5,0))</x:f>
        <x:v>1</x:v>
      </x:c>
    </x:row>
    <x:row r="18" ht="40" customHeight="1">
      <x:c r="A18" s="8" t="s">
        <x:v>90</x:v>
      </x:c>
      <x:c r="B18" s="97" t="str">
        <x:v>Definir el cuestionario confidencial</x:v>
      </x:c>
      <x:c r="C18" s="98">
        <x:v>2</x:v>
      </x:c>
      <x:c r="D18" s="97" t="str">
        <x:v>Paso 12 con preguntas, campos condicionales y separación de respuestas.</x:v>
      </x:c>
      <x:c r="E18" s="10" t="s">
        <x:v>63</x:v>
      </x:c>
      <x:c r="F18" s="46" t="n">
        <x:f t="shared" si="0">IF(E18="Terminado",1,IF(E18="En Proceso",0.5,0))</x:f>
        <x:v>1</x:v>
      </x:c>
    </x:row>
    <x:row r="19" ht="40" customHeight="1">
      <x:c r="A19" s="8" t="s">
        <x:v>91</x:v>
      </x:c>
      <x:c r="B19" s="97" t="str">
        <x:v>Definir el juramento y la finalización</x:v>
      </x:c>
      <x:c r="C19" s="98">
        <x:v>1</x:v>
      </x:c>
      <x:c r="D19" s="97" t="str">
        <x:v>Aceptación, carga, éxito y error del cierre simulado.</x:v>
      </x:c>
      <x:c r="E19" s="10" t="s">
        <x:v>63</x:v>
      </x:c>
      <x:c r="F19" s="46" t="n">
        <x:f t="shared" si="0">IF(E19="Terminado",1,IF(E19="En Proceso",0.5,0))</x:f>
        <x:v>1</x:v>
      </x:c>
    </x:row>
    <x:row r="20" ht="40" customHeight="1">
      <x:c r="A20" s="11" t="s">
        <x:v>92</x:v>
      </x:c>
      <x:c r="B20" s="99" t="str">
        <x:v>Realizar seguimiento quincenal</x:v>
      </x:c>
      <x:c r="C20" s="100">
        <x:v>1</x:v>
      </x:c>
      <x:c r="D20" s="99" t="str">
        <x:v>Revisión del flujo visual y registro de acuerdos.</x:v>
      </x:c>
      <x:c r="E20" s="13" t="s">
        <x:v>63</x:v>
      </x:c>
      <x:c r="F20" s="46" t="n">
        <x:f t="shared" si="0">IF(E20="Terminado",1,IF(E20="En Proceso",0.5,0))</x:f>
        <x:v>1</x:v>
      </x:c>
    </x:row>
    <x:row r="21">
      <x:c r="A21" s="8"/>
      <x:c r="B21" s="14" t="s">
        <x:v>74</x:v>
      </x:c>
      <x:c r="C21" s="15" t="n">
        <x:f>SUM(C3:C20)</x:f>
        <x:v>40</x:v>
      </x:c>
      <x:c r="D21" s="8"/>
      <x:c r="F21" s="46" t="n">
        <x:f>SUMPRODUCT(C3:C20,F3:F20)/C21</x:f>
        <x:v>1</x:v>
      </x:c>
    </x:row>
    <x:row r="23" ht="36" customHeight="1">
      <x:c r="A23" s="88" t="str">
        <x:v>Descripciones corregidas al alcance vigente. No se añaden horas realizadas ni se acreditan nuevas tareas terminadas.</x:v>
      </x:c>
      <x:c r="B23" s="88"/>
      <x:c r="C23" s="88"/>
      <x:c r="D23" s="88"/>
      <x:c r="E23" s="88"/>
      <x:c r="F23" s="88"/>
    </x:row>
  </x:sheetData>
  <x:mergeCells>
    <x:mergeCell ref="A1:F1"/>
    <x:mergeCell ref="A23:F23"/>
  </x:mergeCells>
  <x:dataValidations count="1">
    <x:dataValidation type="list" allowBlank="1" showErrorMessage="1" sqref="E3:E20">
      <x:formula1>"En Proceso,Pendiente,Terminado"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640625" defaultRowHeight="13.199999809265137"/>
  <x:cols>
    <x:col min="2" max="2" width="45.6640625" customWidth="1"/>
    <x:col min="4" max="4" width="65" hidden="0" customWidth="1"/>
    <x:col min="5" max="5" width="14.44140625" customWidth="1"/>
    <x:col min="6" max="6" width="12.44140625" customWidth="1"/>
  </x:cols>
  <x:sheetData>
    <x:row r="1" ht="30" customHeight="1">
      <x:c r="A1" s="2" t="str">
        <x:v>Preparación técnica e integración de sad-aml-shared</x:v>
      </x:c>
      <x:c r="B1" s="4"/>
      <x:c r="C1" s="5"/>
      <x:c r="D1" s="4"/>
    </x:row>
    <x:row r="2" ht="26.399999618530273">
      <x:c r="A2" s="6" t="s">
        <x:v>57</x:v>
      </x:c>
      <x:c r="B2" s="6" t="s">
        <x:v>58</x:v>
      </x:c>
      <x:c r="C2" s="6" t="s">
        <x:v>59</x:v>
      </x:c>
      <x:c r="D2" s="6" t="s">
        <x:v>60</x:v>
      </x:c>
      <x:c r="E2" s="6" t="s">
        <x:v>5</x:v>
      </x:c>
      <x:c r="F2" s="43" t="s">
        <x:v>61</x:v>
      </x:c>
    </x:row>
    <x:row r="3" ht="54" customHeight="1">
      <x:c r="A3" s="101" t="str">
        <x:v>ARQ-01</x:v>
      </x:c>
      <x:c r="B3" s="101" t="str">
        <x:v>Verificar la configuración del arquetipo existente</x:v>
      </x:c>
      <x:c r="C3" s="102" t="n">
        <x:v>3</x:v>
      </x:c>
      <x:c r="D3" s="101" t="str">
        <x:v>Entorno, scripts y dependencias revisados. Aprovechar el proyecto disponible.</x:v>
      </x:c>
      <x:c r="E3" s="103" t="str">
        <x:v>En Proceso</x:v>
      </x:c>
      <x:c r="F3" s="104" t="n">
        <x:f t="shared" ref="F3:F13" si="0">IF(E3="Terminado",1,IF(E3="En Proceso",0.5,0))</x:f>
        <x:v>0.5</x:v>
      </x:c>
    </x:row>
    <x:row r="4" ht="54" customHeight="1">
      <x:c r="A4" s="101" t="str">
        <x:v>ARQ-02</x:v>
      </x:c>
      <x:c r="B4" s="101" t="str">
        <x:v>Configurar rutas y conectar la estructura existente</x:v>
      </x:c>
      <x:c r="C4" s="102" t="n">
        <x:v>6</x:v>
      </x:c>
      <x:c r="D4" s="101" t="str">
        <x:v>Pantallas y contenedor conectados al arquetipo, aprovechando sad-aml-shared.</x:v>
      </x:c>
      <x:c r="E4" s="103" t="str">
        <x:v>En Proceso</x:v>
      </x:c>
      <x:c r="F4" s="104" t="n">
        <x:f t="shared" si="0">IF(E4="Terminado",1,IF(E4="En Proceso",0.5,0))</x:f>
        <x:v>0.5</x:v>
      </x:c>
    </x:row>
    <x:row r="5" ht="54" customHeight="1">
      <x:c r="A5" s="101" t="str">
        <x:v>ARQ-04</x:v>
      </x:c>
      <x:c r="B5" s="101" t="str">
        <x:v>Definir contratos de datos y escenarios simulados</x:v>
      </x:c>
      <x:c r="C5" s="102" t="n">
        <x:v>6</x:v>
      </x:c>
      <x:c r="D5" s="101" t="str">
        <x:v>Datos de prueba, estados y contratos separados de la interfaz. Cuestionario independiente.</x:v>
      </x:c>
      <x:c r="E5" s="103" t="str">
        <x:v>En Proceso</x:v>
      </x:c>
      <x:c r="F5" s="104" t="n">
        <x:f t="shared" si="0">IF(E5="Terminado",1,IF(E5="En Proceso",0.5,0))</x:f>
        <x:v>0.5</x:v>
      </x:c>
    </x:row>
    <x:row r="6" ht="54" customHeight="1">
      <x:c r="A6" s="101" t="str">
        <x:v>LG-01</x:v>
      </x:c>
      <x:c r="B6" s="101" t="str">
        <x:v>Integrar el login con sad-aml-shared</x:v>
      </x:c>
      <x:c r="C6" s="102" t="n">
        <x:v>5</x:v>
      </x:c>
      <x:c r="D6" s="101" t="str">
        <x:v>Campos, botones y mensajes existentes conectados a datos simulados.</x:v>
      </x:c>
      <x:c r="E6" s="103" t="str">
        <x:v>Pendiente</x:v>
      </x:c>
      <x:c r="F6" s="104" t="n">
        <x:f t="shared" si="0">IF(E6="Terminado",1,IF(E6="En Proceso",0.5,0))</x:f>
        <x:v>0</x:v>
      </x:c>
    </x:row>
    <x:row r="7" ht="54" customHeight="1">
      <x:c r="A7" s="101" t="str">
        <x:v>LG-02</x:v>
      </x:c>
      <x:c r="B7" s="101" t="str">
        <x:v>Implementar validaciones y estados del login</x:v>
      </x:c>
      <x:c r="C7" s="102" t="n">
        <x:v>3</x:v>
      </x:c>
      <x:c r="D7" s="101" t="str">
        <x:v>Acceso válido, errores, bloqueo y ayuda usando los controles compartidos.</x:v>
      </x:c>
      <x:c r="E7" s="103" t="str">
        <x:v>Pendiente</x:v>
      </x:c>
      <x:c r="F7" s="104" t="n">
        <x:f t="shared" si="0">IF(E7="Terminado",1,IF(E7="En Proceso",0.5,0))</x:f>
        <x:v>0</x:v>
      </x:c>
    </x:row>
    <x:row r="8" ht="54" customHeight="1">
      <x:c r="A8" s="101" t="str">
        <x:v>PS-01</x:v>
      </x:c>
      <x:c r="B8" s="101" t="str">
        <x:v>Integrar la pantalla de inicio informativa</x:v>
      </x:c>
      <x:c r="C8" s="102" t="n">
        <x:v>5</x:v>
      </x:c>
      <x:c r="D8" s="101" t="str">
        <x:v>Información de DecPat, ayuda, header y sidebar con componentes existentes.</x:v>
      </x:c>
      <x:c r="E8" s="103" t="str">
        <x:v>Pendiente</x:v>
      </x:c>
      <x:c r="F8" s="104" t="n">
        <x:f t="shared" si="0">IF(E8="Terminado",1,IF(E8="En Proceso",0.5,0))</x:f>
        <x:v>0</x:v>
      </x:c>
    </x:row>
    <x:row r="9" ht="54" customHeight="1">
      <x:c r="A9" s="101" t="str">
        <x:v>MD-01</x:v>
      </x:c>
      <x:c r="B9" s="101" t="str">
        <x:v>Conectar la introducción y el acceso a Mi declaración</x:v>
      </x:c>
      <x:c r="C9" s="102" t="n">
        <x:v>5</x:v>
      </x:c>
      <x:c r="D9" s="101" t="str">
        <x:v>Modal introductorio y entrada al formulario, sin pantalla duplicada de módulos.</x:v>
      </x:c>
      <x:c r="E9" s="103" t="str">
        <x:v>Pendiente</x:v>
      </x:c>
      <x:c r="F9" s="104" t="n">
        <x:f t="shared" si="0">IF(E9="Terminado",1,IF(E9="En Proceso",0.5,0))</x:f>
        <x:v>0</x:v>
      </x:c>
    </x:row>
    <x:row r="10" ht="54" customHeight="1">
      <x:c r="A10" s="101" t="str">
        <x:v>ARQ-05</x:v>
      </x:c>
      <x:c r="B10" s="101" t="str">
        <x:v>Probar el flujo inicial en Chrome</x:v>
      </x:c>
      <x:c r="C10" s="102" t="n">
        <x:v>3</x:v>
      </x:c>
      <x:c r="D10" s="101" t="str">
        <x:v>Navegación, controles, modales y mensajes comprobados en el entorno local.</x:v>
      </x:c>
      <x:c r="E10" s="103" t="str">
        <x:v>Pendiente</x:v>
      </x:c>
      <x:c r="F10" s="104" t="n">
        <x:f t="shared" si="0">IF(E10="Terminado",1,IF(E10="En Proceso",0.5,0))</x:f>
        <x:v>0</x:v>
      </x:c>
    </x:row>
    <x:row r="11" ht="54" customHeight="1">
      <x:c r="A11" s="101" t="str">
        <x:v>ARQ-06</x:v>
      </x:c>
      <x:c r="B11" s="101" t="str">
        <x:v>Documentar y demostrar el flujo inicial</x:v>
      </x:c>
      <x:c r="C11" s="102" t="n">
        <x:v>3</x:v>
      </x:c>
      <x:c r="D11" s="101" t="str">
        <x:v>Recorrido reproducible, componentes reutilizados y decisiones de integración.</x:v>
      </x:c>
      <x:c r="E11" s="103" t="str">
        <x:v>Pendiente</x:v>
      </x:c>
      <x:c r="F11" s="104" t="n">
        <x:f t="shared" si="0">IF(E11="Terminado",1,IF(E11="En Proceso",0.5,0))</x:f>
        <x:v>0</x:v>
      </x:c>
    </x:row>
    <x:row r="12" ht="54" customHeight="1">
      <x:c r="A12" s="101" t="str">
        <x:v>SEG-03</x:v>
      </x:c>
      <x:c r="B12" s="101" t="str">
        <x:v>Realizar seguimiento quincenal</x:v>
      </x:c>
      <x:c r="C12" s="102" t="n">
        <x:v>1</x:v>
      </x:c>
      <x:c r="D12" s="101" t="str">
        <x:v>Acuerdos técnicos y alcance de la primera entrega navegable.</x:v>
      </x:c>
      <x:c r="E12" s="103" t="str">
        <x:v>Pendiente</x:v>
      </x:c>
      <x:c r="F12" s="104" t="n">
        <x:f t="shared" si="0">IF(E12="Terminado",1,IF(E12="En Proceso",0.5,0))</x:f>
        <x:v>0</x:v>
      </x:c>
    </x:row>
    <x:row r="13" ht="25" customHeight="1">
      <x:c r="A13" s="109"/>
      <x:c r="B13" s="109" t="str">
        <x:v>Total del período</x:v>
      </x:c>
      <x:c r="C13" s="110" t="n">
        <x:f>SUM(C3:C12)</x:f>
        <x:v>40</x:v>
      </x:c>
      <x:c r="D13" s="109"/>
      <x:c r="E13" s="111"/>
      <x:c r="F13" s="112" t="n">
        <x:f t="shared" si="0">SUMPRODUCT(C3:C12,F3:F12)/C13</x:f>
        <x:v>0.1875</x:v>
      </x:c>
    </x:row>
    <x:row r="14">
      <x:c r="A14" s="101"/>
      <x:c r="B14" s="113"/>
      <x:c r="C14" s="114"/>
      <x:c r="D14" s="101"/>
      <x:c r="E14" s="115"/>
      <x:c r="F14" s="104"/>
    </x:row>
    <x:row r="15" ht="36" customHeight="1">
      <x:c r="A15" s="115" t="str">
        <x:v>Las 8 h retiradas de ARQ-03 se reparten: rutas +2, contratos +2, login +1, validaciones +1, pruebas +1 y documentación +1.</x:v>
      </x:c>
      <x:c r="B15" s="115"/>
      <x:c r="C15" s="115"/>
      <x:c r="D15" s="115"/>
      <x:c r="E15" s="115"/>
      <x:c r="F15" s="115"/>
    </x:row>
    <x:row r="16" ht="44" customHeight="1">
      <x:c r="A16" s="116"/>
      <x:c r="B16" s="116"/>
      <x:c r="C16" s="116"/>
      <x:c r="D16" s="116"/>
      <x:c r="E16" s="116"/>
      <x:c r="F16" s="116"/>
    </x:row>
  </x:sheetData>
  <x:mergeCells>
    <x:mergeCell ref="A1:F1"/>
    <x:mergeCell ref="A15:F15"/>
  </x:mergeCells>
  <x:dataValidations count="1">
    <x:dataValidation type="list" allowBlank="1" showErrorMessage="1" sqref="E3:E13">
      <x:formula1>"En Proceso,Pendiente,Terminado"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Inicio navegable y datos generales (14 al 25 de septiembre)</x:v>
      </x:c>
      <x:c r="B1" s="68"/>
      <x:c r="C1" s="68"/>
      <x:c r="D1" s="68"/>
      <x:c r="E1" s="68"/>
      <x:c r="F1" s="6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</x:row>
    <x:row r="3" ht="48" customHeight="1">
      <x:c r="A3" s="76" t="str">
        <x:v>ARQ-R01</x:v>
      </x:c>
      <x:c r="B3" s="76" t="str">
        <x:v>Aplicar los ajustes del entorno y las rutas</x:v>
      </x:c>
      <x:c r="C3" s="79" t="n">
        <x:v>3</x:v>
      </x:c>
      <x:c r="D3" s="76" t="str">
        <x:v>Ajustes identificados en preparación aplicados al flujo navegable.</x:v>
      </x:c>
      <x:c r="E3" s="76" t="str">
        <x:v>Pendiente</x:v>
      </x:c>
      <x:c r="F3" s="77" t="n">
        <x:f>IF(E3="Terminado",1,IF(E3="En Proceso",0.5,0))</x:f>
        <x:v>0</x:v>
      </x:c>
    </x:row>
    <x:row r="4" ht="48" customHeight="1">
      <x:c r="A4" s="76" t="str">
        <x:v>ARQ-R02</x:v>
      </x:c>
      <x:c r="B4" s="76" t="str">
        <x:v>Integrar sad-aml-shared en las pantallas del flujo</x:v>
      </x:c>
      <x:c r="C4" s="79" t="n">
        <x:v>3</x:v>
      </x:c>
      <x:c r="D4" s="76" t="str">
        <x:v>Conectar propiedades, eventos y estados de controles existentes. Sin recrear botones, campos ni modales base.</x:v>
      </x:c>
      <x:c r="E4" s="76" t="str">
        <x:v>Pendiente</x:v>
      </x:c>
      <x:c r="F4" s="77" t="n">
        <x:f t="shared" ref="F4:F23" si="0">IF(E4="Terminado",1,IF(E4="En Proceso",0.5,0))</x:f>
        <x:v>0</x:v>
      </x:c>
    </x:row>
    <x:row r="5" ht="48" customHeight="1">
      <x:c r="A5" s="76" t="str">
        <x:v>LG-R01</x:v>
      </x:c>
      <x:c r="B5" s="76" t="str">
        <x:v>Implementar el login</x:v>
      </x:c>
      <x:c r="C5" s="79" t="n">
        <x:v>4</x:v>
      </x:c>
      <x:c r="D5" s="76" t="str">
        <x:v>Pantalla conectada al flujo, usando componentes compartidos y datos simulados.</x:v>
      </x:c>
      <x:c r="E5" s="76" t="str">
        <x:v>Pendiente</x:v>
      </x:c>
      <x:c r="F5" s="77" t="n">
        <x:f t="shared" si="0">IF(E5="Terminado",1,IF(E5="En Proceso",0.5,0))</x:f>
        <x:v>0</x:v>
      </x:c>
    </x:row>
    <x:row r="6" ht="48" customHeight="1">
      <x:c r="A6" s="76" t="str">
        <x:v>LG-R02</x:v>
      </x:c>
      <x:c r="B6" s="76" t="str">
        <x:v>Completar estados y ayuda del login</x:v>
      </x:c>
      <x:c r="C6" s="79" t="n">
        <x:v>4</x:v>
      </x:c>
      <x:c r="D6" s="76" t="str">
        <x:v>Validaciones, credenciales incorrectas, bloqueo y ayuda conforme a Figma.</x:v>
      </x:c>
      <x:c r="E6" s="76" t="str">
        <x:v>Pendiente</x:v>
      </x:c>
      <x:c r="F6" s="77" t="n">
        <x:f t="shared" si="0">IF(E6="Terminado",1,IF(E6="En Proceso",0.5,0))</x:f>
        <x:v>0</x:v>
      </x:c>
    </x:row>
    <x:row r="7" ht="48" customHeight="1">
      <x:c r="A7" s="76" t="str">
        <x:v>PS-R01</x:v>
      </x:c>
      <x:c r="B7" s="76" t="str">
        <x:v>Implementar el inicio informativo</x:v>
      </x:c>
      <x:c r="C7" s="79" t="n">
        <x:v>4</x:v>
      </x:c>
      <x:c r="D7" s="76" t="str">
        <x:v>Contenido de DecPat, ayuda, header y sidebar con acceso a Mi declaración.</x:v>
      </x:c>
      <x:c r="E7" s="76" t="str">
        <x:v>Pendiente</x:v>
      </x:c>
      <x:c r="F7" s="77" t="n">
        <x:f t="shared" si="0">IF(E7="Terminado",1,IF(E7="En Proceso",0.5,0))</x:f>
        <x:v>0</x:v>
      </x:c>
    </x:row>
    <x:row r="8" ht="48" customHeight="1">
      <x:c r="A8" s="76" t="str">
        <x:v>MD-R01</x:v>
      </x:c>
      <x:c r="B8" s="76" t="str">
        <x:v>Conectar la entrada a Mi declaración</x:v>
      </x:c>
      <x:c r="C8" s="79" t="n">
        <x:v>2</x:v>
      </x:c>
      <x:c r="D8" s="76" t="str">
        <x:v>Modal introductorio y acceso al formulario. Sin pantalla duplicada de módulos.</x:v>
      </x:c>
      <x:c r="E8" s="76" t="str">
        <x:v>Pendiente</x:v>
      </x:c>
      <x:c r="F8" s="77" t="n">
        <x:f t="shared" si="0">IF(E8="Terminado",1,IF(E8="En Proceso",0.5,0))</x:f>
        <x:v>0</x:v>
      </x:c>
    </x:row>
    <x:row r="9" ht="48" customHeight="1">
      <x:c r="A9" s="76" t="str">
        <x:v>FL-R01</x:v>
      </x:c>
      <x:c r="B9" s="76" t="str">
        <x:v>Integrar el wizard y su lógica de navegación</x:v>
      </x:c>
      <x:c r="C9" s="79" t="n">
        <x:v>4</x:v>
      </x:c>
      <x:c r="D9" s="76" t="str">
        <x:v>Aprovechar el control compartido disponible y conectar el estado de los doce pasos.</x:v>
      </x:c>
      <x:c r="E9" s="76" t="str">
        <x:v>Pendiente</x:v>
      </x:c>
      <x:c r="F9" s="77" t="n">
        <x:f t="shared" si="0">IF(E9="Terminado",1,IF(E9="En Proceso",0.5,0))</x:f>
        <x:v>0</x:v>
      </x:c>
    </x:row>
    <x:row r="10" ht="48" customHeight="1">
      <x:c r="A10" s="76" t="str">
        <x:v>DG-R01</x:v>
      </x:c>
      <x:c r="B10" s="76" t="str">
        <x:v>Implementar Datos generales</x:v>
      </x:c>
      <x:c r="C10" s="79" t="n">
        <x:v>4</x:v>
      </x:c>
      <x:c r="D10" s="76" t="str">
        <x:v>Paso 1 con datos simulados, campos y validaciones de Figma.</x:v>
      </x:c>
      <x:c r="E10" s="76" t="str">
        <x:v>Pendiente</x:v>
      </x:c>
      <x:c r="F10" s="77" t="n">
        <x:f t="shared" si="0">IF(E10="Terminado",1,IF(E10="En Proceso",0.5,0))</x:f>
        <x:v>0</x:v>
      </x:c>
    </x:row>
    <x:row r="11" ht="48" customHeight="1">
      <x:c r="A11" s="76" t="str">
        <x:v>FL-R02</x:v>
      </x:c>
      <x:c r="B11" s="76" t="str">
        <x:v>Definir estado y contratos simulados</x:v>
      </x:c>
      <x:c r="C11" s="79" t="n">
        <x:v>3</x:v>
      </x:c>
      <x:c r="D11" s="76" t="str">
        <x:v>Datos conservados al navegar. Cuestionario confidencial separado de la declaración.</x:v>
      </x:c>
      <x:c r="E11" s="76" t="str">
        <x:v>Pendiente</x:v>
      </x:c>
      <x:c r="F11" s="77" t="n">
        <x:f t="shared" si="0">IF(E11="Terminado",1,IF(E11="En Proceso",0.5,0))</x:f>
        <x:v>0</x:v>
      </x:c>
    </x:row>
    <x:row r="12" ht="48" customHeight="1">
      <x:c r="A12" s="76" t="str">
        <x:v>QA-R01</x:v>
      </x:c>
      <x:c r="B12" s="76" t="str">
        <x:v>Probar el flujo inicial en Chrome</x:v>
      </x:c>
      <x:c r="C12" s="79" t="n">
        <x:v>5</x:v>
      </x:c>
      <x:c r="D12" s="76" t="str">
        <x:v>Login a paso 1 navegable, errores, teclado, modales y mensajes comprobados.</x:v>
      </x:c>
      <x:c r="E12" s="76" t="str">
        <x:v>Pendiente</x:v>
      </x:c>
      <x:c r="F12" s="77" t="n">
        <x:f t="shared" si="0">IF(E12="Terminado",1,IF(E12="En Proceso",0.5,0))</x:f>
        <x:v>0</x:v>
      </x:c>
    </x:row>
    <x:row r="13" ht="48" customHeight="1">
      <x:c r="A13" s="76" t="str">
        <x:v>DOC-R01</x:v>
      </x:c>
      <x:c r="B13" s="76" t="str">
        <x:v>Preparar evidencia y registro técnico</x:v>
      </x:c>
      <x:c r="C13" s="79" t="n">
        <x:v>3</x:v>
      </x:c>
      <x:c r="D13" s="76" t="str">
        <x:v>Recorrido reproducible y lista de componentes reutilizados y pendientes.</x:v>
      </x:c>
      <x:c r="E13" s="76" t="str">
        <x:v>Pendiente</x:v>
      </x:c>
      <x:c r="F13" s="77" t="n">
        <x:f t="shared" si="0">IF(E13="Terminado",1,IF(E13="En Proceso",0.5,0))</x:f>
        <x:v>0</x:v>
      </x:c>
    </x:row>
    <x:row r="14" ht="48" customHeight="1">
      <x:c r="A14" s="76" t="str">
        <x:v>SEG-R01</x:v>
      </x:c>
      <x:c r="B14" s="76" t="str">
        <x:v>Demostrar el primer avance quincenal</x:v>
      </x:c>
      <x:c r="C14" s="79" t="n">
        <x:v>1</x:v>
      </x:c>
      <x:c r="D14" s="76" t="str">
        <x:v>Seguimiento propuesto el 25/09 con una pantalla navegable y el flujo conectado.</x:v>
      </x:c>
      <x:c r="E14" s="76" t="str">
        <x:v>Pendiente</x:v>
      </x:c>
      <x:c r="F14" s="77" t="n">
        <x:f t="shared" si="0">IF(E14="Terminado",1,IF(E14="En Proceso",0.5,0))</x:f>
        <x:v>0</x:v>
      </x:c>
    </x:row>
    <x:row r="15" ht="25" customHeight="1">
      <x:c r="A15" s="70"/>
      <x:c r="B15" s="70" t="str">
        <x:v>Total del período</x:v>
      </x:c>
      <x:c r="C15" s="83" t="n">
        <x:f>SUM(C3:C14)</x:f>
        <x:v>40</x:v>
      </x:c>
      <x:c r="D15" s="70"/>
      <x:c r="E15" s="70"/>
      <x:c r="F15" s="84" t="n">
        <x:f t="shared" si="0">SUMPRODUCT(C3:C14,F3:F14)/C15</x:f>
        <x:v>0</x:v>
      </x:c>
    </x:row>
    <x:row r="16" ht="19.200000762939453">
      <x:c r="A16"/>
      <x:c r="B16"/>
      <x:c r="C16"/>
      <x:c r="D16"/>
      <x:c r="E16"/>
      <x:c r="F16">
        <x:f t="shared" si="0"/>
      </x:c>
    </x:row>
    <x:row r="17" ht="40" customHeight="1">
      <x:c r="A17" s="86" t="str">
        <x:v>25/09: login, inicio informativo y acceso al paso 1 con validaciones.</x:v>
      </x:c>
      <x:c r="B17" s="86"/>
      <x:c r="C17" s="86"/>
      <x:c r="D17" s="86"/>
      <x:c r="E17" s="86"/>
      <x:c r="F17" s="86">
        <x:f t="shared" si="0"/>
      </x:c>
    </x:row>
    <x:row r="18" ht="32" customHeight="1">
      <x:c r="A18" s="88" t="str">
        <x:v>Frontend con mocks y sad-aml-shared. Las horas cubren integración, lógica, validaciones y pruebas; no la creación de controles base.</x:v>
      </x:c>
      <x:c r="B18" s="88"/>
      <x:c r="C18" s="88"/>
      <x:c r="D18" s="88"/>
      <x:c r="E18" s="88"/>
      <x:c r="F18" s="88">
        <x:f t="shared" si="0"/>
      </x:c>
    </x:row>
    <x:row r="19" ht="26.399999618530273">
      <x:c r="A19"/>
      <x:c r="B19"/>
      <x:c r="C19"/>
      <x:c r="D19"/>
      <x:c r="E19"/>
      <x:c r="F19">
        <x:f t="shared" si="0"/>
      </x:c>
    </x:row>
    <x:row r="20">
      <x:c r="A20"/>
      <x:c r="B20"/>
      <x:c r="C20"/>
      <x:c r="D20"/>
      <x:c r="E20"/>
      <x:c r="F20">
        <x:f t="shared" si="0"/>
      </x:c>
    </x:row>
    <x:row r="21">
      <x:c r="A21"/>
      <x:c r="B21"/>
      <x:c r="C21"/>
      <x:c r="D21"/>
      <x:c r="E21"/>
      <x:c r="F21">
        <x:f t="shared" si="0"/>
      </x:c>
    </x:row>
    <x:row r="22" ht="26.399999618530273">
      <x:c r="A22"/>
      <x:c r="B22"/>
      <x:c r="C22"/>
      <x:c r="D22"/>
      <x:c r="E22"/>
      <x:c r="F22">
        <x:f t="shared" si="0"/>
      </x:c>
    </x:row>
    <x:row r="23" ht="26.399999618530273">
      <x:c r="A23"/>
      <x:c r="B23"/>
      <x:c r="C23"/>
      <x:c r="D23"/>
      <x:c r="E23"/>
      <x:c r="F23">
        <x:f t="shared" si="0"/>
      </x:c>
    </x:row>
    <x:row r="24">
      <x:c r="A24"/>
      <x:c r="B24"/>
      <x:c r="C24"/>
      <x:c r="D24"/>
      <x:c r="E24"/>
      <x:c r="F24"/>
    </x:row>
  </x:sheetData>
  <x:mergeCells>
    <x:mergeCell ref="A1:F1"/>
    <x:mergeCell ref="A17:F17"/>
    <x:mergeCell ref="A18:F18"/>
  </x:mergeCells>
  <x:dataValidations count="2">
    <x:dataValidation type="list" allowBlank="1" showErrorMessage="1" sqref="E4:E5 E8:E10 E13:E15 E18:E23">
      <x:formula1>"En Proceso,Pendiente,Terminado"</x:formula1>
    </x:dataValidation>
    <x:dataValidation type="list" sqref="E3:E14">
      <x:formula1>"Pendiente,En Proceso,Terminado"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Núcleo familiar, ingresos y bienes (28 de septiembre al 9 de octubre)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NF-R01</x:v>
      </x:c>
      <x:c r="B3" s="76" t="str">
        <x:v>Implementar Núcleo familiar</x:v>
      </x:c>
      <x:c r="C3" s="79" t="n">
        <x:v>7</x:v>
      </x:c>
      <x:c r="D3" s="76" t="str">
        <x:v>Paso 2: tabla y modal con alta, edición, eliminación y validación.</x:v>
      </x:c>
      <x:c r="E3" s="76" t="str">
        <x:v>Pendiente</x:v>
      </x:c>
      <x:c r="F3" s="77" t="n">
        <x:f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IE-R01</x:v>
      </x:c>
      <x:c r="B4" s="76" t="str">
        <x:v>Implementar Ingresos y egresos</x:v>
      </x:c>
      <x:c r="C4" s="79" t="n">
        <x:v>6</x:v>
      </x:c>
      <x:c r="D4" s="76" t="str">
        <x:v>Paso 3: formularios y tablas con componentes compartidos y estados vacíos.</x:v>
      </x:c>
      <x:c r="E4" s="76" t="str">
        <x:v>Pendiente</x:v>
      </x:c>
      <x:c r="F4" s="77" t="n">
        <x:f t="shared" ref="F4:F21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IE-R02</x:v>
      </x:c>
      <x:c r="B5" s="76" t="str">
        <x:v>Implementar cálculos y condiciones</x:v>
      </x:c>
      <x:c r="C5" s="79" t="n">
        <x:v>4</x:v>
      </x:c>
      <x:c r="D5" s="76" t="str">
        <x:v>Totales, monedas y campos condicionales verificados con ejemplos acordados.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IE-R03</x:v>
      </x:c>
      <x:c r="B6" s="76" t="str">
        <x:v>Implementar el manejo de PDF</x:v>
      </x:c>
      <x:c r="C6" s="79" t="n">
        <x:v>4</x:v>
      </x:c>
      <x:c r="D6" s="76" t="str">
        <x:v>Seleccionar, retirar y validar archivo. Errores y carga simulada sin servicio productivo.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BI-R01</x:v>
      </x:c>
      <x:c r="B7" s="76" t="str">
        <x:v>Implementar Bienes inmuebles</x:v>
      </x:c>
      <x:c r="C7" s="79" t="n">
        <x:v>6</x:v>
      </x:c>
      <x:c r="D7" s="76" t="str">
        <x:v>Paso 4: listado, modal y operaciones con validaciones. No duplicar formulario y modal.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48" customHeight="1">
      <x:c r="A8" s="76" t="str">
        <x:v>BM-R01</x:v>
      </x:c>
      <x:c r="B8" s="76" t="str">
        <x:v>Implementar Bienes muebles</x:v>
      </x:c>
      <x:c r="C8" s="79" t="n">
        <x:v>6</x:v>
      </x:c>
      <x:c r="D8" s="76" t="str">
        <x:v>Paso 5: listado, modal, operaciones y campos condicionales.</x:v>
      </x:c>
      <x:c r="E8" s="76" t="str">
        <x:v>Pendiente</x:v>
      </x:c>
      <x:c r="F8" s="77" t="n">
        <x:f t="shared" si="0">IF(E8="Terminado",1,IF(E8="En Proceso",0.5,0))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 ht="48" customHeight="1">
      <x:c r="A9" s="76" t="str">
        <x:v>INT-R02</x:v>
      </x:c>
      <x:c r="B9" s="76" t="str">
        <x:v>Integrar los pasos 2 a 5</x:v>
      </x:c>
      <x:c r="C9" s="79" t="n">
        <x:v>2</x:v>
      </x:c>
      <x:c r="D9" s="76" t="str">
        <x:v>Anterior y siguiente conservan datos y actualizan el progreso.</x:v>
      </x:c>
      <x:c r="E9" s="76" t="str">
        <x:v>Pendiente</x:v>
      </x:c>
      <x:c r="F9" s="77" t="n">
        <x:f t="shared" si="0">IF(E9="Terminado",1,IF(E9="En Proceso",0.5,0))</x:f>
        <x:v>0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8" customHeight="1">
      <x:c r="A10" s="76" t="str">
        <x:v>QA-R02</x:v>
      </x:c>
      <x:c r="B10" s="76" t="str">
        <x:v>Probar escenarios y corregir defectos</x:v>
      </x:c>
      <x:c r="C10" s="79" t="n">
        <x:v>3</x:v>
      </x:c>
      <x:c r="D10" s="76" t="str">
        <x:v>Chrome: errores, cálculos, PDF, modales y toasts de los pasos incluidos.</x:v>
      </x:c>
      <x:c r="E10" s="76" t="str">
        <x:v>Pendiente</x:v>
      </x:c>
      <x:c r="F10" s="77" t="n">
        <x:f t="shared" si="0">IF(E10="Terminado",1,IF(E10="En Proceso",0.5,0))</x:f>
        <x:v>0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48" customHeight="1">
      <x:c r="A11" s="76" t="str">
        <x:v>DOC-R02</x:v>
      </x:c>
      <x:c r="B11" s="76" t="str">
        <x:v>Preparar evidencia acumulada</x:v>
      </x:c>
      <x:c r="C11" s="79" t="n">
        <x:v>1</x:v>
      </x:c>
      <x:c r="D11" s="76" t="str">
        <x:v>Recorrido desde login hasta el paso 5 y resultados de pruebas.</x:v>
      </x:c>
      <x:c r="E11" s="76" t="str">
        <x:v>Pendiente</x:v>
      </x:c>
      <x:c r="F11" s="77" t="n">
        <x:f t="shared" si="0">IF(E11="Terminado",1,IF(E11="En Proceso",0.5,0))</x:f>
        <x:v>0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48" customHeight="1">
      <x:c r="A12" s="76" t="str">
        <x:v>SEG-R02</x:v>
      </x:c>
      <x:c r="B12" s="76" t="str">
        <x:v>Demostrar el segundo avance quincenal</x:v>
      </x:c>
      <x:c r="C12" s="79" t="n">
        <x:v>1</x:v>
      </x:c>
      <x:c r="D12" s="76" t="str">
        <x:v>Seguimiento propuesto el 09/10 con operaciones sobre datos simulados.</x:v>
      </x:c>
      <x:c r="E12" s="76" t="str">
        <x:v>Pendiente</x:v>
      </x:c>
      <x:c r="F12" s="77" t="n">
        <x:f t="shared" si="0">IF(E12="Terminado",1,IF(E12="En Proceso",0.5,0))</x:f>
        <x:v>0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25" customHeight="1">
      <x:c r="A13" s="70"/>
      <x:c r="B13" s="70" t="str">
        <x:v>Total del período</x:v>
      </x:c>
      <x:c r="C13" s="83" t="n">
        <x:f>SUM(C3:C12)</x:f>
        <x:v>40</x:v>
      </x:c>
      <x:c r="D13" s="70"/>
      <x:c r="E13" s="70"/>
      <x:c r="F13" s="84" t="n">
        <x:f t="shared" si="0">SUMPRODUCT(C3:C12,F3:F12)/C13</x:f>
        <x:v>0</x:v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9.200000762939453">
      <x:c r="A14"/>
      <x:c r="B14"/>
      <x:c r="C14"/>
      <x:c r="D14"/>
      <x:c r="E14"/>
      <x:c r="F14">
        <x:f t="shared" si="0"/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 ht="40" customHeight="1">
      <x:c r="A15" s="86" t="str">
        <x:v>09/10: recorrido hasta el paso 5 con formularios, tablas y modales funcionales.</x:v>
      </x:c>
      <x:c r="B15" s="86"/>
      <x:c r="C15" s="86"/>
      <x:c r="D15" s="86"/>
      <x:c r="E15" s="86"/>
      <x:c r="F15" s="86">
        <x:f t="shared" si="0"/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 ht="32" customHeight="1">
      <x:c r="A16" s="88" t="str">
        <x:v>Frontend con mocks y sad-aml-shared. Las horas cubren integración, lógica, validaciones y pruebas; no la creación de controles base.</x:v>
      </x:c>
      <x:c r="B16" s="88"/>
      <x:c r="C16" s="88"/>
      <x:c r="D16" s="88"/>
      <x:c r="E16" s="88"/>
      <x:c r="F16" s="88">
        <x:f t="shared" si="0"/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26.399999618530273">
      <x:c r="A17"/>
      <x:c r="B17"/>
      <x:c r="C17"/>
      <x:c r="D17"/>
      <x:c r="E17"/>
      <x:c r="F17">
        <x:f t="shared" si="0"/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>
      <x:c r="A18"/>
      <x:c r="B18"/>
      <x:c r="C18"/>
      <x:c r="D18"/>
      <x:c r="E18"/>
      <x:c r="F18">
        <x:f t="shared" si="0"/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26.399999618530273">
      <x:c r="A19"/>
      <x:c r="B19"/>
      <x:c r="C19"/>
      <x:c r="D19"/>
      <x:c r="E19"/>
      <x:c r="F19">
        <x:f t="shared" si="0"/>
      </x:c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26.399999618530273">
      <x:c r="A20"/>
      <x:c r="B20"/>
      <x:c r="C20"/>
      <x:c r="D20"/>
      <x:c r="E20"/>
      <x:c r="F20">
        <x:f t="shared" si="0"/>
      </x:c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</x:row>
    <x:row r="21" ht="26.399999618530273">
      <x:c r="A21"/>
      <x:c r="B21"/>
      <x:c r="C21"/>
      <x:c r="D21"/>
      <x:c r="E21"/>
      <x:c r="F21">
        <x:f t="shared" si="0"/>
      </x:c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</x:row>
    <x:row r="22">
      <x:c r="A22"/>
      <x:c r="B22"/>
      <x:c r="C22"/>
      <x:c r="D22"/>
      <x:c r="E22"/>
      <x:c r="F22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</x:row>
    <x:row r="23">
      <x:c r="A23"/>
      <x:c r="B23"/>
      <x:c r="C23"/>
      <x:c r="D23"/>
      <x:c r="E23"/>
      <x:c r="F23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</x:row>
    <x:row r="24">
      <x:c r="A24"/>
      <x:c r="B24"/>
      <x:c r="C24"/>
      <x:c r="D24"/>
      <x:c r="E24"/>
      <x:c r="F24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>
      <x:c r="A25"/>
      <x:c r="B25"/>
      <x:c r="C25"/>
      <x:c r="D25"/>
      <x:c r="E25"/>
      <x:c r="F25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  <x:row r="1002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8"/>
      <x:c r="U1002" s="8"/>
      <x:c r="V1002" s="8"/>
      <x:c r="W1002" s="8"/>
      <x:c r="X1002" s="8"/>
      <x:c r="Y1002" s="8"/>
      <x:c r="Z1002" s="8"/>
    </x:row>
    <x:row r="1003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8"/>
      <x:c r="U1003" s="8"/>
      <x:c r="V1003" s="8"/>
      <x:c r="W1003" s="8"/>
      <x:c r="X1003" s="8"/>
      <x:c r="Y1003" s="8"/>
      <x:c r="Z1003" s="8"/>
    </x:row>
    <x:row r="1004">
      <x:c r="A1004" s="8"/>
      <x:c r="B1004" s="8"/>
      <x:c r="C1004" s="8"/>
      <x:c r="D1004" s="8"/>
      <x:c r="E1004" s="8"/>
      <x:c r="F1004" s="8"/>
      <x:c r="G1004" s="8"/>
      <x:c r="H1004" s="8"/>
      <x:c r="I1004" s="8"/>
      <x:c r="J1004" s="8"/>
      <x:c r="K1004" s="8"/>
      <x:c r="L1004" s="8"/>
      <x:c r="M1004" s="8"/>
      <x:c r="N1004" s="8"/>
      <x:c r="O1004" s="8"/>
      <x:c r="P1004" s="8"/>
      <x:c r="Q1004" s="8"/>
      <x:c r="R1004" s="8"/>
      <x:c r="S1004" s="8"/>
      <x:c r="T1004" s="8"/>
      <x:c r="U1004" s="8"/>
      <x:c r="V1004" s="8"/>
      <x:c r="W1004" s="8"/>
      <x:c r="X1004" s="8"/>
      <x:c r="Y1004" s="8"/>
      <x:c r="Z1004" s="8"/>
    </x:row>
  </x:sheetData>
  <x:mergeCells>
    <x:mergeCell ref="A1:F1"/>
    <x:mergeCell ref="A15:F15"/>
    <x:mergeCell ref="A16:F16"/>
  </x:mergeCells>
  <x:dataValidations count="2">
    <x:dataValidation type="list" allowBlank="1" showErrorMessage="1" sqref="E4:E7 E10:E13 E16:E21">
      <x:formula1>"En Proceso,Pendiente,Terminado"</x:formula1>
    </x:dataValidation>
    <x:dataValidation type="list" sqref="E3:E12">
      <x:formula1>"Pendiente,En Proceso,Terminado"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Productos financieros e inicio de personas jurídicas (12 al 23 de octubre)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DE-R01</x:v>
      </x:c>
      <x:c r="B3" s="76" t="str">
        <x:v>Implementar depósitos y ahorros</x:v>
      </x:c>
      <x:c r="C3" s="79" t="n">
        <x:v>5</x:v>
      </x:c>
      <x:c r="D3" s="76" t="str">
        <x:v>Paso 6 con datos simulados, monedas, operaciones y totales según Figma.</x:v>
      </x:c>
      <x:c r="E3" s="76" t="str">
        <x:v>Pendiente</x:v>
      </x:c>
      <x:c r="F3" s="77" t="n">
        <x:f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CC-R01</x:v>
      </x:c>
      <x:c r="B4" s="76" t="str">
        <x:v>Implementar Cuentas corrientes</x:v>
      </x:c>
      <x:c r="C4" s="79" t="n">
        <x:v>4</x:v>
      </x:c>
      <x:c r="D4" s="76" t="str">
        <x:v>Paso 7: listado, modal y validaciones. Reutilizar patrones existentes.</x:v>
      </x:c>
      <x:c r="E4" s="76" t="str">
        <x:v>Pendiente</x:v>
      </x:c>
      <x:c r="F4" s="77" t="n">
        <x:f t="shared" ref="F4:F22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CR-R01</x:v>
      </x:c>
      <x:c r="B5" s="76" t="str">
        <x:v>Implementar Créditos</x:v>
      </x:c>
      <x:c r="C5" s="79" t="n">
        <x:v>6</x:v>
      </x:c>
      <x:c r="D5" s="76" t="str">
        <x:v>Paso 8: alta, edición, eliminación, cuotas, saldos y validaciones.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TC-R01</x:v>
      </x:c>
      <x:c r="B6" s="76" t="str">
        <x:v>Implementar Tarjetas de crédito</x:v>
      </x:c>
      <x:c r="C6" s="79" t="n">
        <x:v>5</x:v>
      </x:c>
      <x:c r="D6" s="76" t="str">
        <x:v>Paso 9: monedas, cuotas y saldos. Confirmar etiquetas ambiguas antes de programar.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PJ-R01</x:v>
      </x:c>
      <x:c r="B7" s="76" t="str">
        <x:v>Iniciar Personería jurídica y sociedades</x:v>
      </x:c>
      <x:c r="C7" s="79" t="n">
        <x:v>8</x:v>
      </x:c>
      <x:c r="D7" s="76" t="str">
        <x:v>Paso 10: estructura, dos modales y modelo de poderes, participaciones y dietas.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48" customHeight="1">
      <x:c r="A8" s="76" t="str">
        <x:v>INT-R03</x:v>
      </x:c>
      <x:c r="B8" s="76" t="str">
        <x:v>Integrar los productos financieros</x:v>
      </x:c>
      <x:c r="C8" s="79" t="n">
        <x:v>3</x:v>
      </x:c>
      <x:c r="D8" s="76" t="str">
        <x:v>Recorrido acumulado a paso 9, conservación de datos y contratos consistentes.</x:v>
      </x:c>
      <x:c r="E8" s="76" t="str">
        <x:v>Pendiente</x:v>
      </x:c>
      <x:c r="F8" s="77" t="n">
        <x:f t="shared" si="0">IF(E8="Terminado",1,IF(E8="En Proceso",0.5,0))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 ht="48" customHeight="1">
      <x:c r="A9" s="76" t="str">
        <x:v>QA-R03</x:v>
      </x:c>
      <x:c r="B9" s="76" t="str">
        <x:v>Probar cálculos y corregir defectos</x:v>
      </x:c>
      <x:c r="C9" s="79" t="n">
        <x:v>5</x:v>
      </x:c>
      <x:c r="D9" s="76" t="str">
        <x:v>Chrome: totales por moneda, edición, eliminación y campos condicionales.</x:v>
      </x:c>
      <x:c r="E9" s="76" t="str">
        <x:v>Pendiente</x:v>
      </x:c>
      <x:c r="F9" s="77" t="n">
        <x:f t="shared" si="0">IF(E9="Terminado",1,IF(E9="En Proceso",0.5,0))</x:f>
        <x:v>0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8" customHeight="1">
      <x:c r="A10" s="76" t="str">
        <x:v>DOC-R03</x:v>
      </x:c>
      <x:c r="B10" s="76" t="str">
        <x:v>Preparar evidencia y decisiones pendientes</x:v>
      </x:c>
      <x:c r="C10" s="79" t="n">
        <x:v>3</x:v>
      </x:c>
      <x:c r="D10" s="76" t="str">
        <x:v>Demostración acumulada y confirmaciones necesarias para concluir el paso 10.</x:v>
      </x:c>
      <x:c r="E10" s="76" t="str">
        <x:v>Pendiente</x:v>
      </x:c>
      <x:c r="F10" s="77" t="n">
        <x:f t="shared" si="0">IF(E10="Terminado",1,IF(E10="En Proceso",0.5,0))</x:f>
        <x:v>0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48" customHeight="1">
      <x:c r="A11" s="76" t="str">
        <x:v>SEG-R03</x:v>
      </x:c>
      <x:c r="B11" s="76" t="str">
        <x:v>Demostrar el tercer avance quincenal</x:v>
      </x:c>
      <x:c r="C11" s="79" t="n">
        <x:v>1</x:v>
      </x:c>
      <x:c r="D11" s="76" t="str">
        <x:v>Seguimiento propuesto el 23/10. Paso 10 identificado como avance parcial.</x:v>
      </x:c>
      <x:c r="E11" s="76" t="str">
        <x:v>Pendiente</x:v>
      </x:c>
      <x:c r="F11" s="77" t="n">
        <x:f t="shared" si="0">IF(E11="Terminado",1,IF(E11="En Proceso",0.5,0))</x:f>
        <x:v>0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25" customHeight="1">
      <x:c r="A12" s="70"/>
      <x:c r="B12" s="70" t="str">
        <x:v>Total del período</x:v>
      </x:c>
      <x:c r="C12" s="83" t="n">
        <x:f>SUM(C3:C11)</x:f>
        <x:v>40</x:v>
      </x:c>
      <x:c r="D12" s="70"/>
      <x:c r="E12" s="70"/>
      <x:c r="F12" s="84" t="n">
        <x:f t="shared" si="0">SUMPRODUCT(C3:C11,F3:F11)/C12</x:f>
        <x:v>0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>
      <x:c r="A13"/>
      <x:c r="B13"/>
      <x:c r="C13"/>
      <x:c r="D13"/>
      <x:c r="E13"/>
      <x:c r="F13">
        <x:f t="shared" si="0"/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40" customHeight="1">
      <x:c r="A14" s="86" t="str">
        <x:v>23/10: recorrido hasta el paso 9. Paso 10 iniciado para reducir carga del cierre.</x:v>
      </x:c>
      <x:c r="B14" s="86"/>
      <x:c r="C14" s="86"/>
      <x:c r="D14" s="86"/>
      <x:c r="E14" s="86"/>
      <x:c r="F14" s="86">
        <x:f t="shared" si="0"/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 ht="32" customHeight="1">
      <x:c r="A15" s="88" t="str">
        <x:v>Frontend con mocks y sad-aml-shared. Las horas cubren integración, lógica, validaciones y pruebas; no la creación de controles base.</x:v>
      </x:c>
      <x:c r="B15" s="88"/>
      <x:c r="C15" s="88"/>
      <x:c r="D15" s="88"/>
      <x:c r="E15" s="88"/>
      <x:c r="F15" s="88">
        <x:f t="shared" si="0"/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>
      <x:c r="A16"/>
      <x:c r="B16"/>
      <x:c r="C16"/>
      <x:c r="D16"/>
      <x:c r="E16"/>
      <x:c r="F16">
        <x:f t="shared" si="0"/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>
      <x:c r="A17"/>
      <x:c r="B17"/>
      <x:c r="C17"/>
      <x:c r="D17"/>
      <x:c r="E17"/>
      <x:c r="F17">
        <x:f t="shared" si="0"/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>
      <x:c r="A18"/>
      <x:c r="B18"/>
      <x:c r="C18"/>
      <x:c r="D18"/>
      <x:c r="E18"/>
      <x:c r="F18">
        <x:f t="shared" si="0"/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>
      <x:c r="A19"/>
      <x:c r="B19"/>
      <x:c r="C19"/>
      <x:c r="D19"/>
      <x:c r="E19"/>
      <x:c r="F19">
        <x:f t="shared" si="0"/>
      </x:c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>
      <x:c r="A20"/>
      <x:c r="B20"/>
      <x:c r="C20"/>
      <x:c r="D20"/>
      <x:c r="E20"/>
      <x:c r="F20">
        <x:f t="shared" si="0"/>
      </x:c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26.399999618530273">
      <x:c r="A21"/>
      <x:c r="B21"/>
      <x:c r="C21"/>
      <x:c r="D21"/>
      <x:c r="E21"/>
      <x:c r="F21">
        <x:f t="shared" si="0"/>
      </x:c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</x:row>
    <x:row r="22" ht="26.399999618530273">
      <x:c r="A22"/>
      <x:c r="B22"/>
      <x:c r="C22"/>
      <x:c r="D22"/>
      <x:c r="E22"/>
      <x:c r="F22">
        <x:f t="shared" si="0"/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</x:row>
    <x:row r="23">
      <x:c r="A23"/>
      <x:c r="B23"/>
      <x:c r="C23"/>
      <x:c r="D23"/>
      <x:c r="E23"/>
      <x:c r="F23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</x:row>
    <x:row r="24">
      <x:c r="A24"/>
      <x:c r="B24"/>
      <x:c r="C24"/>
      <x:c r="D24"/>
      <x:c r="E24"/>
      <x:c r="F24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>
      <x:c r="A25"/>
      <x:c r="B25"/>
      <x:c r="C25"/>
      <x:c r="D25"/>
      <x:c r="E25"/>
      <x:c r="F25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  <x:row r="1002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8"/>
      <x:c r="U1002" s="8"/>
      <x:c r="V1002" s="8"/>
      <x:c r="W1002" s="8"/>
      <x:c r="X1002" s="8"/>
      <x:c r="Y1002" s="8"/>
      <x:c r="Z1002" s="8"/>
    </x:row>
    <x:row r="1003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8"/>
      <x:c r="U1003" s="8"/>
      <x:c r="V1003" s="8"/>
      <x:c r="W1003" s="8"/>
      <x:c r="X1003" s="8"/>
      <x:c r="Y1003" s="8"/>
      <x:c r="Z1003" s="8"/>
    </x:row>
    <x:row r="1004">
      <x:c r="A1004" s="8"/>
      <x:c r="B1004" s="8"/>
      <x:c r="C1004" s="8"/>
      <x:c r="D1004" s="8"/>
      <x:c r="E1004" s="8"/>
      <x:c r="F1004" s="8"/>
      <x:c r="G1004" s="8"/>
      <x:c r="H1004" s="8"/>
      <x:c r="I1004" s="8"/>
      <x:c r="J1004" s="8"/>
      <x:c r="K1004" s="8"/>
      <x:c r="L1004" s="8"/>
      <x:c r="M1004" s="8"/>
      <x:c r="N1004" s="8"/>
      <x:c r="O1004" s="8"/>
      <x:c r="P1004" s="8"/>
      <x:c r="Q1004" s="8"/>
      <x:c r="R1004" s="8"/>
      <x:c r="S1004" s="8"/>
      <x:c r="T1004" s="8"/>
      <x:c r="U1004" s="8"/>
      <x:c r="V1004" s="8"/>
      <x:c r="W1004" s="8"/>
      <x:c r="X1004" s="8"/>
      <x:c r="Y1004" s="8"/>
      <x:c r="Z1004" s="8"/>
    </x:row>
  </x:sheetData>
  <x:mergeCells>
    <x:mergeCell ref="A1:F1"/>
    <x:mergeCell ref="A14:F14"/>
    <x:mergeCell ref="A15:F15"/>
  </x:mergeCells>
  <x:dataValidations count="2">
    <x:dataValidation type="list" allowBlank="1" showErrorMessage="1" sqref="E4:E7 E10:E13 E16:E22">
      <x:formula1>"En Proceso,Pendiente,Terminado"</x:formula1>
    </x:dataValidation>
    <x:dataValidation type="list" sqref="E3:E11">
      <x:formula1>"Pendiente,En Proceso,Terminado"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1" max="1" width="14" hidden="0" customWidth="1"/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3" max="3" width="12" hidden="0" customWidth="1"/>
  </x:cols>
  <x:sheetData>
    <x:row r="1" ht="30" customHeight="1">
      <x:c r="A1" s="68" t="str">
        <x:v>Cierre funcional de la declaración (26 al 30 de octubre)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PJ-R02</x:v>
      </x:c>
      <x:c r="B3" s="76" t="str">
        <x:v>Completar Personería jurídica</x:v>
      </x:c>
      <x:c r="C3" s="79" t="n">
        <x:v>7</x:v>
      </x:c>
      <x:c r="D3" s="76" t="str">
        <x:v>Finalizar reglas, operaciones y validaciones de los modales iniciados en la quincena anterior.</x:v>
      </x:c>
      <x:c r="E3" s="76" t="str">
        <x:v>Pendiente</x:v>
      </x:c>
      <x:c r="F3" s="77" t="n">
        <x:f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DJ-R01</x:v>
      </x:c>
      <x:c r="B4" s="76" t="str">
        <x:v>Implementar Datos judiciales</x:v>
      </x:c>
      <x:c r="C4" s="79" t="n">
        <x:v>6</x:v>
      </x:c>
      <x:c r="D4" s="76" t="str">
        <x:v>Paso 11 con campos, condiciones, registros y validaciones correspondientes.</x:v>
      </x:c>
      <x:c r="E4" s="76" t="str">
        <x:v>Pendiente</x:v>
      </x:c>
      <x:c r="F4" s="77" t="n">
        <x:f t="shared" ref="F4:F25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DP-R01</x:v>
      </x:c>
      <x:c r="B5" s="76" t="str">
        <x:v>Implementar el cuestionario confidencial</x:v>
      </x:c>
      <x:c r="C5" s="79" t="n">
        <x:v>8</x:v>
      </x:c>
      <x:c r="D5" s="76" t="str">
        <x:v>Paso 12 con preguntas y campos condicionales. Respuestas fuera del borrador patrimonial.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DJU-R01</x:v>
      </x:c>
      <x:c r="B6" s="76" t="str">
        <x:v>Implementar juramento y aceptación</x:v>
      </x:c>
      <x:c r="C6" s="79" t="n">
        <x:v>5</x:v>
      </x:c>
      <x:c r="D6" s="76" t="str">
        <x:v>Pantalla final y condiciones de aceptación según Figma.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DJU-R02</x:v>
      </x:c>
      <x:c r="B7" s="76" t="str">
        <x:v>Implementar finalización simulada</x:v>
      </x:c>
      <x:c r="C7" s="79" t="n">
        <x:v>4</x:v>
      </x:c>
      <x:c r="D7" s="76" t="str">
        <x:v>Envío simulado con carga, éxito y error. Sin prometer almacenamiento ni envío productivo.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48" customHeight="1">
      <x:c r="A8" s="76" t="str">
        <x:v>INT-R04</x:v>
      </x:c>
      <x:c r="B8" s="76" t="str">
        <x:v>Verificar el recorrido completo</x:v>
      </x:c>
      <x:c r="C8" s="79" t="n">
        <x:v>4</x:v>
      </x:c>
      <x:c r="D8" s="76" t="str">
        <x:v>Los doce pasos y juramento se recorren desde el login con datos de prueba.</x:v>
      </x:c>
      <x:c r="E8" s="76" t="str">
        <x:v>Pendiente</x:v>
      </x:c>
      <x:c r="F8" s="77" t="n">
        <x:f t="shared" si="0">IF(E8="Terminado",1,IF(E8="En Proceso",0.5,0))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 ht="48" customHeight="1">
      <x:c r="A9" s="76" t="str">
        <x:v>QA-R04</x:v>
      </x:c>
      <x:c r="B9" s="76" t="str">
        <x:v>Corregir defectos del cierre</x:v>
      </x:c>
      <x:c r="C9" s="79" t="n">
        <x:v>4</x:v>
      </x:c>
      <x:c r="D9" s="76" t="str">
        <x:v>Chrome: cuestionario, separación de datos, juramento y finalización.</x:v>
      </x:c>
      <x:c r="E9" s="76" t="str">
        <x:v>Pendiente</x:v>
      </x:c>
      <x:c r="F9" s="77" t="n">
        <x:f t="shared" si="0">IF(E9="Terminado",1,IF(E9="En Proceso",0.5,0))</x:f>
        <x:v>0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8" customHeight="1">
      <x:c r="A10" s="76" t="str">
        <x:v>DOC-R04</x:v>
      </x:c>
      <x:c r="B10" s="76" t="str">
        <x:v>Registrar el hito funcional</x:v>
      </x:c>
      <x:c r="C10" s="79" t="n">
        <x:v>2</x:v>
      </x:c>
      <x:c r="D10" s="76" t="str">
        <x:v>Evidencia interna del 30/10 y lista priorizada para estabilización.</x:v>
      </x:c>
      <x:c r="E10" s="76" t="str">
        <x:v>Pendiente</x:v>
      </x:c>
      <x:c r="F10" s="77" t="n">
        <x:f t="shared" si="0">IF(E10="Terminado",1,IF(E10="En Proceso",0.5,0))</x:f>
        <x:v>0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25" customHeight="1">
      <x:c r="A11" s="70"/>
      <x:c r="B11" s="70" t="str">
        <x:v>Total del período</x:v>
      </x:c>
      <x:c r="C11" s="83" t="n">
        <x:f>SUM(C3:C10)</x:f>
        <x:v>40</x:v>
      </x:c>
      <x:c r="D11" s="70"/>
      <x:c r="E11" s="70"/>
      <x:c r="F11" s="84" t="n">
        <x:f t="shared" si="0">SUMPRODUCT(C3:C10,F3:F10)/C11</x:f>
        <x:v>0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>
      <x:c r="A12"/>
      <x:c r="B12"/>
      <x:c r="C12"/>
      <x:c r="D12"/>
      <x:c r="E12"/>
      <x:c r="F12">
        <x:f t="shared" si="0"/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40" customHeight="1">
      <x:c r="A13" s="86" t="str">
        <x:v>30/10: hito interno de flujo completo. La validación final se realiza del 02 al 06/11.</x:v>
      </x:c>
      <x:c r="B13" s="86"/>
      <x:c r="C13" s="86"/>
      <x:c r="D13" s="86"/>
      <x:c r="E13" s="86"/>
      <x:c r="F13" s="86">
        <x:f t="shared" si="0"/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</x:row>
    <x:row r="14" ht="32" customHeight="1">
      <x:c r="A14" s="88" t="str">
        <x:v>Frontend con mocks y sad-aml-shared. Las horas cubren integración, lógica, validaciones y pruebas; no la creación de controles base.</x:v>
      </x:c>
      <x:c r="B14" s="88"/>
      <x:c r="C14" s="88"/>
      <x:c r="D14" s="88"/>
      <x:c r="E14" s="88"/>
      <x:c r="F14" s="88">
        <x:f t="shared" si="0"/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>
      <x:c r="A15"/>
      <x:c r="B15"/>
      <x:c r="C15"/>
      <x:c r="D15"/>
      <x:c r="E15"/>
      <x:c r="F15">
        <x:f t="shared" si="0"/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26.399999618530273">
      <x:c r="A16"/>
      <x:c r="B16"/>
      <x:c r="C16"/>
      <x:c r="D16"/>
      <x:c r="E16"/>
      <x:c r="F16">
        <x:f t="shared" si="0"/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>
      <x:c r="A17"/>
      <x:c r="B17"/>
      <x:c r="C17"/>
      <x:c r="D17"/>
      <x:c r="E17"/>
      <x:c r="F17">
        <x:f t="shared" si="0"/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76.80000305175781">
      <x:c r="A18"/>
      <x:c r="B18"/>
      <x:c r="C18"/>
      <x:c r="D18"/>
      <x:c r="E18"/>
      <x:c r="F18">
        <x:f t="shared" si="0"/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</x:row>
    <x:row r="19" ht="26.399999618530273">
      <x:c r="A19"/>
      <x:c r="B19"/>
      <x:c r="C19"/>
      <x:c r="D19"/>
      <x:c r="E19"/>
      <x:c r="F19">
        <x:f t="shared" si="0"/>
      </x:c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</x:row>
    <x:row r="20" ht="26.399999618530273">
      <x:c r="A20"/>
      <x:c r="B20"/>
      <x:c r="C20"/>
      <x:c r="D20"/>
      <x:c r="E20"/>
      <x:c r="F20">
        <x:f t="shared" si="0"/>
      </x:c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>
      <x:c r="A21"/>
      <x:c r="B21"/>
      <x:c r="C21"/>
      <x:c r="D21"/>
      <x:c r="E21"/>
      <x:c r="F21">
        <x:f t="shared" si="0"/>
      </x:c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>
      <x:c r="A22"/>
      <x:c r="B22"/>
      <x:c r="C22"/>
      <x:c r="D22"/>
      <x:c r="E22"/>
      <x:c r="F22">
        <x:f t="shared" si="0"/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26.399999618530273">
      <x:c r="A23"/>
      <x:c r="B23"/>
      <x:c r="C23"/>
      <x:c r="D23"/>
      <x:c r="E23"/>
      <x:c r="F23">
        <x:f t="shared" si="0"/>
      </x:c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26.399999618530273">
      <x:c r="A24"/>
      <x:c r="B24"/>
      <x:c r="C24"/>
      <x:c r="D24"/>
      <x:c r="E24"/>
      <x:c r="F24">
        <x:f t="shared" si="0"/>
      </x:c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26.399999618530273">
      <x:c r="A25"/>
      <x:c r="B25"/>
      <x:c r="C25"/>
      <x:c r="D25"/>
      <x:c r="E25"/>
      <x:c r="F25">
        <x:f t="shared" si="0"/>
      </x:c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  <x:row r="1002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8"/>
      <x:c r="U1002" s="8"/>
      <x:c r="V1002" s="8"/>
      <x:c r="W1002" s="8"/>
      <x:c r="X1002" s="8"/>
      <x:c r="Y1002" s="8"/>
      <x:c r="Z1002" s="8"/>
    </x:row>
    <x:row r="1003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8"/>
      <x:c r="U1003" s="8"/>
      <x:c r="V1003" s="8"/>
      <x:c r="W1003" s="8"/>
      <x:c r="X1003" s="8"/>
      <x:c r="Y1003" s="8"/>
      <x:c r="Z1003" s="8"/>
    </x:row>
  </x:sheetData>
  <x:mergeCells>
    <x:mergeCell ref="A1:F1"/>
    <x:mergeCell ref="A13:F13"/>
    <x:mergeCell ref="A14:F14"/>
  </x:mergeCells>
  <x:dataValidations count="2">
    <x:dataValidation type="list" allowBlank="1" showErrorMessage="1" sqref="E4:E7 E10:E12 E15:E17 E20:E25">
      <x:formula1>"En Proceso,Pendiente,Terminado"</x:formula1>
    </x:dataValidation>
    <x:dataValidation type="list" sqref="E3:E10">
      <x:formula1>"Pendiente,En Proceso,Terminado"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Estabilización y entrega final (2 al 6 de noviembre)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CI-R01</x:v>
      </x:c>
      <x:c r="B3" s="76" t="str">
        <x:v>Ejecutar regresión completa en Chrome</x:v>
      </x:c>
      <x:c r="C3" s="79" t="n">
        <x:v>6</x:v>
      </x:c>
      <x:c r="D3" s="76" t="str">
        <x:v>Recorrido completo, validaciones, teclado, estados vacíos, PDF, modales y toasts.</x:v>
      </x:c>
      <x:c r="E3" s="76" t="str">
        <x:v>Pendiente</x:v>
      </x:c>
      <x:c r="F3" s="77" t="n">
        <x:f t="shared" ref="F3:F8" si="0"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CI-R02</x:v>
      </x:c>
      <x:c r="B4" s="76" t="str">
        <x:v>Corregir y volver a probar defectos</x:v>
      </x:c>
      <x:c r="C4" s="79" t="n">
        <x:v>6</x:v>
      </x:c>
      <x:c r="D4" s="76" t="str">
        <x:v>Priorizar fallos que bloquean el flujo y comprobar que las correcciones no generan regresiones.</x:v>
      </x:c>
      <x:c r="E4" s="76" t="str">
        <x:v>Pendiente</x:v>
      </x:c>
      <x:c r="F4" s="77" t="n">
        <x:f t="shared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CI-R03</x:v>
      </x:c>
      <x:c r="B5" s="76" t="str">
        <x:v>Completar documentación técnica</x:v>
      </x:c>
      <x:c r="C5" s="79" t="n">
        <x:v>4</x:v>
      </x:c>
      <x:c r="D5" s="76" t="str">
        <x:v>Ejecución local, componentes reutilizados, mocks, pendientes y orden de traspaso manual.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CI-R04</x:v>
      </x:c>
      <x:c r="B6" s="76" t="str">
        <x:v>Preparar evidencia y paquete de entrega</x:v>
      </x:c>
      <x:c r="C6" s="79" t="n">
        <x:v>3</x:v>
      </x:c>
      <x:c r="D6" s="76" t="str">
        <x:v>Resultados de pruebas y demostración reproducible. Sin despliegue productivo incluido.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SEG-R04</x:v>
      </x:c>
      <x:c r="B7" s="76" t="str">
        <x:v>Realizar seguimiento y entrega final</x:v>
      </x:c>
      <x:c r="C7" s="79" t="n">
        <x:v>1</x:v>
      </x:c>
      <x:c r="D7" s="76" t="str">
        <x:v>Seguimiento propuesto el 06/11 con el flujo completo y limitaciones documentadas.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25" customHeight="1">
      <x:c r="A8" s="70"/>
      <x:c r="B8" s="70" t="str">
        <x:v>Total del período</x:v>
      </x:c>
      <x:c r="C8" s="83" t="n">
        <x:f>SUM(C3:C7)</x:f>
        <x:v>20</x:v>
      </x:c>
      <x:c r="D8" s="70"/>
      <x:c r="E8" s="70"/>
      <x:c r="F8" s="84" t="n">
        <x:f t="shared" si="0">SUMPRODUCT(C3:C7,F3:F7)/C8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>
      <x:c r="A9"/>
      <x:c r="B9"/>
      <x:c r="C9"/>
      <x:c r="D9"/>
      <x:c r="E9"/>
      <x:c r="F9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0" customHeight="1">
      <x:c r="A10" s="86" t="str">
        <x:v>06/11: seguimiento final, flujo completo probado en Chrome y entrega documentada.</x:v>
      </x:c>
      <x:c r="B10" s="86"/>
      <x:c r="C10" s="86"/>
      <x:c r="D10" s="86"/>
      <x:c r="E10" s="86"/>
      <x:c r="F10" s="86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</x:row>
    <x:row r="11" ht="32" customHeight="1">
      <x:c r="A11" s="88" t="str">
        <x:v>Frontend con mocks y sad-aml-shared. Las horas cubren integración, lógica, validaciones y pruebas; no la creación de controles base.</x:v>
      </x:c>
      <x:c r="B11" s="88"/>
      <x:c r="C11" s="88"/>
      <x:c r="D11" s="88"/>
      <x:c r="E11" s="88"/>
      <x:c r="F11" s="8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</x:row>
    <x:row r="12">
      <x:c r="A12"/>
      <x:c r="B12"/>
      <x:c r="C12"/>
      <x:c r="D12"/>
      <x:c r="E12"/>
      <x:c r="F12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</x:row>
    <x:row r="13">
      <x:c r="A13"/>
      <x:c r="B13"/>
      <x:c r="C13"/>
      <x:c r="D13"/>
      <x:c r="E13"/>
      <x:c r="F13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</x:row>
    <x:row r="14">
      <x:c r="A14"/>
      <x:c r="B14"/>
      <x:c r="C14"/>
      <x:c r="D14"/>
      <x:c r="E14"/>
      <x:c r="F14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>
      <x:c r="A15"/>
      <x:c r="B15"/>
      <x:c r="C15"/>
      <x:c r="D15"/>
      <x:c r="E15"/>
      <x:c r="F15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>
      <x:c r="A16"/>
      <x:c r="B16"/>
      <x:c r="C16"/>
      <x:c r="D16"/>
      <x:c r="E16"/>
      <x:c r="F16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</x:row>
    <x:row r="17">
      <x:c r="A17"/>
      <x:c r="B17"/>
      <x:c r="C17"/>
      <x:c r="D17"/>
      <x:c r="E17"/>
      <x:c r="F17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</x:row>
    <x:row r="18">
      <x:c r="A18"/>
      <x:c r="B18"/>
      <x:c r="C18"/>
      <x:c r="D18"/>
      <x:c r="E18"/>
      <x:c r="F1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</x:row>
    <x:row r="19">
      <x:c r="A19"/>
      <x:c r="B19"/>
      <x:c r="C19"/>
      <x:c r="D19"/>
      <x:c r="E19"/>
      <x:c r="F19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</x:row>
    <x:row r="20">
      <x:c r="A20"/>
      <x:c r="B20"/>
      <x:c r="C20"/>
      <x:c r="D20"/>
      <x:c r="E20"/>
      <x:c r="F20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</x:row>
    <x:row r="21">
      <x:c r="A21"/>
      <x:c r="B21"/>
      <x:c r="C21"/>
      <x:c r="D21"/>
      <x:c r="E21"/>
      <x:c r="F21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>
      <x:c r="A22"/>
      <x:c r="B22"/>
      <x:c r="C22"/>
      <x:c r="D22"/>
      <x:c r="E22"/>
      <x:c r="F22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>
      <x:c r="A23"/>
      <x:c r="B23"/>
      <x:c r="C23"/>
      <x:c r="D23"/>
      <x:c r="E23"/>
      <x:c r="F23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>
      <x:c r="A24"/>
      <x:c r="B24"/>
      <x:c r="C24"/>
      <x:c r="D24"/>
      <x:c r="E24"/>
      <x:c r="F24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>
      <x:c r="A25"/>
      <x:c r="B25"/>
      <x:c r="C25"/>
      <x:c r="D25"/>
      <x:c r="E25"/>
      <x:c r="F25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</x:sheetData>
  <x:mergeCells>
    <x:mergeCell ref="A1:F1"/>
    <x:mergeCell ref="A10:F10"/>
    <x:mergeCell ref="A11:F11"/>
  </x:mergeCells>
  <x:dataValidations count="2">
    <x:dataValidation type="list" allowBlank="1" showErrorMessage="1" sqref="E3:E8">
      <x:formula1>"En Proceso,Pendiente,Terminado"</x:formula1>
    </x:dataValidation>
    <x:dataValidation type="list" sqref="E3:E7">
      <x:formula1>"Pendiente,En Proceso,Terminado"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3.199999809265137"/>
  <x:cols>
    <x:col min="1" max="1" width="28.77734375" customWidth="1"/>
    <x:col min="2" max="2" width="31.21875" customWidth="1"/>
    <x:col min="3" max="3" width="25.109375" customWidth="1"/>
    <x:col min="4" max="4" width="26.44140625" customWidth="1"/>
    <x:col min="5" max="5" width="28.88671875" customWidth="1"/>
    <x:col min="6" max="6" width="18.109375" customWidth="1"/>
    <x:col min="7" max="8" width="15.6640625" customWidth="1"/>
    <x:col min="10" max="10" width="18.109375" customWidth="1"/>
    <x:col min="11" max="11" width="26.21875" customWidth="1"/>
    <x:col min="12" max="12" width="22.44140625" customWidth="1"/>
  </x:cols>
  <x:sheetData>
    <x:row r="1" ht="21">
      <x:c r="A1" s="27" t="str">
        <x:v>Avance intermedio actualizado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>
      <x:c r="A2" s="28" t="s">
        <x:v>93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</x:row>
    <x:row r="4">
      <x:c r="A4" s="30" t="s">
        <x:v>94</x:v>
      </x:c>
      <x:c r="B4" s="31" t="s">
        <x:v>95</x:v>
      </x:c>
      <x:c r="D4" s="30" t="s">
        <x:v>96</x:v>
      </x:c>
      <x:c r="E4" s="36" t="s">
        <x:v>2</x:v>
      </x:c>
      <x:c r="F4" s="31" t="s">
        <x:v>97</x:v>
      </x:c>
    </x:row>
    <x:row r="5" ht="30" customHeight="1">
      <x:c r="A5" s="94" t="str">
        <x:v>Plan total actualizado</x:v>
      </x:c>
      <x:c r="B5" s="33" t="n">
        <x:f>General!C10</x:f>
        <x:v>300</x:v>
      </x:c>
      <x:c r="D5" s="37" t="s">
        <x:v>98</x:v>
      </x:c>
      <x:c r="E5" s="39" t="n">
        <x:f>$B$6</x:f>
        <x:v>143</x:v>
      </x:c>
      <x:c r="F5" s="41" t="n">
        <x:f>E5/$B$5</x:f>
        <x:v>0.4766666666666667</x:v>
      </x:c>
    </x:row>
    <x:row r="6" ht="30" customHeight="1">
      <x:c r="A6" s="94" t="s">
        <x:v>99</x:v>
      </x:c>
      <x:c r="B6" s="33" t="n">
        <x:f>B31</x:f>
        <x:v>143</x:v>
      </x:c>
      <x:c r="D6" s="37" t="str">
        <x:v>Saldo del plan, no pronóstico</x:v>
      </x:c>
      <x:c r="E6" s="39" t="n">
        <x:f>MAX($B$5-$B$6,0)</x:f>
        <x:v>157</x:v>
      </x:c>
      <x:c r="F6" s="41" t="n">
        <x:f>E6/$B$5</x:f>
        <x:v>0.5233333333333333</x:v>
      </x:c>
    </x:row>
    <x:row r="7" ht="30" customHeight="1">
      <x:c r="A7" s="94" t="str">
        <x:v>Horas registradas / plan</x:v>
      </x:c>
      <x:c r="B7" s="34" t="n">
        <x:f>B6/B5</x:f>
        <x:v>0.4766666666666667</x:v>
      </x:c>
      <x:c r="D7" s="37" t="s">
        <x:v>100</x:v>
      </x:c>
      <x:c r="E7" s="39" t="n">
        <x:f>$B$8</x:f>
        <x:v>86.5</x:v>
      </x:c>
      <x:c r="F7" s="41" t="n">
        <x:f>E7/$B$5</x:f>
        <x:v>0.28833333333333333</x:v>
      </x:c>
    </x:row>
    <x:row r="8" ht="30" customHeight="1">
      <x:c r="A8" s="94" t="s">
        <x:v>101</x:v>
      </x:c>
      <x:c r="B8" s="35" t="n">
        <x:f>SUM(G13:G20)</x:f>
        <x:v>86.5</x:v>
      </x:c>
      <x:c r="D8" s="38" t="s">
        <x:v>102</x:v>
      </x:c>
      <x:c r="E8" s="40" t="n">
        <x:f>MAX($B$5-$B$8,0)</x:f>
        <x:v>213.5</x:v>
      </x:c>
      <x:c r="F8" s="42" t="n">
        <x:f>E8/$B$5</x:f>
        <x:v>0.7116666666666667</x:v>
      </x:c>
    </x:row>
    <x:row r="9" ht="30" customHeight="1">
      <x:c r="A9" s="94" t="str">
        <x:v>Avance ponderado del plan</x:v>
      </x:c>
      <x:c r="B9" s="34" t="n">
        <x:f>B8/B5</x:f>
        <x:v>0.28833333333333333</x:v>
      </x:c>
    </x:row>
    <x:row r="10" ht="30" customHeight="1">
      <x:c r="A10" s="94" t="s">
        <x:v>103</x:v>
      </x:c>
      <x:c r="B10" s="33" t="n">
        <x:f>COUNTIF(E13:E20,"Terminado")</x:f>
        <x:v>1</x:v>
      </x:c>
    </x:row>
    <x:row r="12" ht="35" customHeight="1">
      <x:c r="A12" s="43" t="s">
        <x:v>0</x:v>
      </x:c>
      <x:c r="B12" s="43" t="s">
        <x:v>1</x:v>
      </x:c>
      <x:c r="C12" s="96" t="s">
        <x:v>104</x:v>
      </x:c>
      <x:c r="D12" s="88"/>
      <x:c r="E12" s="96" t="s">
        <x:v>105</x:v>
      </x:c>
      <x:c r="F12" s="96" t="s">
        <x:v>100</x:v>
      </x:c>
      <x:c r="G12" s="96" t="s">
        <x:v>106</x:v>
      </x:c>
      <x:c r="H12" s="96" t="str">
        <x:v>Equiv. sin completar</x:v>
      </x:c>
      <x:c r="J12" s="43" t="s">
        <x:v>5</x:v>
      </x:c>
      <x:c r="K12" s="43" t="s">
        <x:v>2</x:v>
      </x:c>
      <x:c r="L12" s="43" t="s">
        <x:v>97</x:v>
      </x:c>
    </x:row>
    <x:row r="13" ht="45" customHeight="1">
      <x:c r="A13" s="44" t="str">
        <x:f>'General'!A2</x:f>
        <x:v>AN</x:v>
      </x:c>
      <x:c r="B13" s="95" t="str">
        <x:f>'General'!B2</x:f>
        <x:v>3 al 14 de agosto</x:v>
      </x:c>
      <x:c r="C13" s="45" t="n">
        <x:f>'General'!C2</x:f>
        <x:v>40</x:v>
      </x:c>
      <x:c r="E13" s="48" t="str">
        <x:f>'General'!F2</x:f>
        <x:v>En Proceso</x:v>
      </x:c>
      <x:c r="F13" s="49" t="n">
        <x:f>'General'!G2</x:f>
        <x:v>0.975</x:v>
      </x:c>
      <x:c r="G13" s="47" t="n">
        <x:f t="shared" ref="G13:G20" si="0">C13*F13</x:f>
        <x:v>39</x:v>
      </x:c>
      <x:c r="H13" s="47" t="n">
        <x:f t="shared" ref="H13:H20" si="1">MAX(C13-G13,0)</x:f>
        <x:v>1</x:v>
      </x:c>
      <x:c r="J13" s="44" t="s">
        <x:v>63</x:v>
      </x:c>
      <x:c r="K13" s="45" t="n">
        <x:f>SUMIF(E13:E20,J13,C13:C20)</x:f>
        <x:v>40</x:v>
      </x:c>
      <x:c r="L13" s="46" t="n">
        <x:f>K13/$B$5</x:f>
        <x:v>0.13333333333333333</x:v>
      </x:c>
    </x:row>
    <x:row r="14" ht="45" customHeight="1">
      <x:c r="A14" s="44" t="str">
        <x:f>'General'!A3</x:f>
        <x:v>FG</x:v>
      </x:c>
      <x:c r="B14" s="95" t="str">
        <x:f>'General'!B3</x:f>
        <x:v>17 al 28 de agosto</x:v>
      </x:c>
      <x:c r="C14" s="45" t="n">
        <x:f>'General'!C3</x:f>
        <x:v>40</x:v>
      </x:c>
      <x:c r="E14" s="48" t="str">
        <x:f>'General'!F3</x:f>
        <x:v>Terminado</x:v>
      </x:c>
      <x:c r="F14" s="49" t="n">
        <x:f>'General'!G3</x:f>
        <x:v>1</x:v>
      </x:c>
      <x:c r="G14" s="47" t="n">
        <x:f t="shared" si="0">C14*F14</x:f>
        <x:v>40</x:v>
      </x:c>
      <x:c r="H14" s="47" t="n">
        <x:f t="shared" si="1">MAX(C14-G14,0)</x:f>
        <x:v>0</x:v>
      </x:c>
      <x:c r="J14" s="44" t="s">
        <x:v>107</x:v>
      </x:c>
      <x:c r="K14" s="45" t="n">
        <x:f>SUMIF(E13:E20,J14,C13:C20)</x:f>
        <x:v>80</x:v>
      </x:c>
      <x:c r="L14" s="46" t="n">
        <x:f>K14/$B$5</x:f>
        <x:v>0.26666666666666666</x:v>
      </x:c>
    </x:row>
    <x:row r="15" ht="45" customHeight="1">
      <x:c r="A15" s="44" t="str">
        <x:f>'General'!A4</x:f>
        <x:v>ARQ</x:v>
      </x:c>
      <x:c r="B15" s="95" t="str">
        <x:f>'General'!B4</x:f>
        <x:v>31 de agosto al 11 de septiembre</x:v>
      </x:c>
      <x:c r="C15" s="45" t="n">
        <x:f>'General'!C4</x:f>
        <x:v>40</x:v>
      </x:c>
      <x:c r="E15" s="48" t="str">
        <x:f>'General'!F4</x:f>
        <x:v>En Proceso</x:v>
      </x:c>
      <x:c r="F15" s="49" t="n">
        <x:f>'General'!G4</x:f>
        <x:v>0.1875</x:v>
      </x:c>
      <x:c r="G15" s="47" t="n">
        <x:f t="shared" si="0">C15*F15</x:f>
        <x:v>7.5</x:v>
      </x:c>
      <x:c r="H15" s="47" t="n">
        <x:f t="shared" si="1">MAX(C15-G15,0)</x:f>
        <x:v>32.5</x:v>
      </x:c>
      <x:c r="J15" s="44" t="s">
        <x:v>73</x:v>
      </x:c>
      <x:c r="K15" s="45" t="n">
        <x:f>SUMIF(E13:E20,J15,C13:C20)</x:f>
        <x:v>180</x:v>
      </x:c>
      <x:c r="L15" s="46" t="n">
        <x:f>K15/$B$5</x:f>
        <x:v>0.6</x:v>
      </x:c>
    </x:row>
    <x:row r="16" ht="45" customHeight="1">
      <x:c r="A16" s="44" t="str">
        <x:f>'General'!A5</x:f>
        <x:v>ARQ - LG - PS - FL - DG</x:v>
      </x:c>
      <x:c r="B16" s="95" t="str">
        <x:f>'General'!B5</x:f>
        <x:v>14 al 25 de septiembre</x:v>
      </x:c>
      <x:c r="C16" s="45" t="n">
        <x:f>'General'!C5</x:f>
        <x:v>40</x:v>
      </x:c>
      <x:c r="E16" s="48" t="str">
        <x:f>'General'!F5</x:f>
        <x:v>Pendiente</x:v>
      </x:c>
      <x:c r="F16" s="49" t="n">
        <x:f>'General'!G5</x:f>
        <x:v>0</x:v>
      </x:c>
      <x:c r="G16" s="47" t="n">
        <x:f t="shared" si="0">C16*F16</x:f>
        <x:v>0</x:v>
      </x:c>
      <x:c r="H16" s="47" t="n">
        <x:f t="shared" si="1">MAX(C16-G16,0)</x:f>
        <x:v>40</x:v>
      </x:c>
    </x:row>
    <x:row r="17" ht="45" customHeight="1">
      <x:c r="A17" s="44" t="str">
        <x:f>'General'!A6</x:f>
        <x:v>NF - IE - BI - BM</x:v>
      </x:c>
      <x:c r="B17" s="95" t="str">
        <x:f>'General'!B6</x:f>
        <x:v>28 de septiembre al 9 de octubre</x:v>
      </x:c>
      <x:c r="C17" s="45" t="n">
        <x:f>'General'!C6</x:f>
        <x:v>40</x:v>
      </x:c>
      <x:c r="E17" s="48" t="str">
        <x:f>'General'!F6</x:f>
        <x:v>Pendiente</x:v>
      </x:c>
      <x:c r="F17" s="49" t="n">
        <x:f>'General'!G6</x:f>
        <x:v>0</x:v>
      </x:c>
      <x:c r="G17" s="47" t="n">
        <x:f t="shared" si="0">C17*F17</x:f>
        <x:v>0</x:v>
      </x:c>
      <x:c r="H17" s="47" t="n">
        <x:f t="shared" si="1">MAX(C17-G17,0)</x:f>
        <x:v>40</x:v>
      </x:c>
    </x:row>
    <x:row r="18" ht="45" customHeight="1">
      <x:c r="A18" s="44" t="str">
        <x:f>'General'!A7</x:f>
        <x:v>DE - CC - CR - TC - PJ</x:v>
      </x:c>
      <x:c r="B18" s="95" t="str">
        <x:f>'General'!B7</x:f>
        <x:v>12 al 23 de octubre</x:v>
      </x:c>
      <x:c r="C18" s="45" t="n">
        <x:f>'General'!C7</x:f>
        <x:v>40</x:v>
      </x:c>
      <x:c r="E18" s="48" t="str">
        <x:f>'General'!F7</x:f>
        <x:v>Pendiente</x:v>
      </x:c>
      <x:c r="F18" s="49" t="n">
        <x:f>'General'!G7</x:f>
        <x:v>0</x:v>
      </x:c>
      <x:c r="G18" s="47" t="n">
        <x:f t="shared" si="0">C18*F18</x:f>
        <x:v>0</x:v>
      </x:c>
      <x:c r="H18" s="47" t="n">
        <x:f t="shared" si="1">MAX(C18-G18,0)</x:f>
        <x:v>40</x:v>
      </x:c>
      <x:c r="J18" s="43" t="s">
        <x:v>108</x:v>
      </x:c>
      <x:c r="K18" s="43" t="s">
        <x:v>2</x:v>
      </x:c>
    </x:row>
    <x:row r="19" ht="45" customHeight="1">
      <x:c r="A19" s="44" t="str">
        <x:f>'General'!A8</x:f>
        <x:v>PJ - DJ - DP - DJU - INT</x:v>
      </x:c>
      <x:c r="B19" s="95" t="str">
        <x:f>'General'!B8</x:f>
        <x:v>26 al 30 de octubre</x:v>
      </x:c>
      <x:c r="C19" s="45" t="n">
        <x:f>'General'!C8</x:f>
        <x:v>40</x:v>
      </x:c>
      <x:c r="E19" s="48" t="str">
        <x:f>'General'!F8</x:f>
        <x:v>Pendiente</x:v>
      </x:c>
      <x:c r="F19" s="49" t="n">
        <x:f>'General'!G8</x:f>
        <x:v>0</x:v>
      </x:c>
      <x:c r="G19" s="47" t="n">
        <x:f t="shared" si="0">C19*F19</x:f>
        <x:v>0</x:v>
      </x:c>
      <x:c r="H19" s="47" t="n">
        <x:f t="shared" si="1">MAX(C19-G19,0)</x:f>
        <x:v>40</x:v>
      </x:c>
      <x:c r="J19" s="50" t="s">
        <x:v>109</x:v>
      </x:c>
      <x:c r="K19" s="51" t="n">
        <x:f>$B$6</x:f>
        <x:v>143</x:v>
      </x:c>
    </x:row>
    <x:row r="20" ht="45" customHeight="1">
      <x:c r="A20" s="44" t="str">
        <x:f>'General'!A9</x:f>
        <x:v>CI</x:v>
      </x:c>
      <x:c r="B20" s="95" t="str">
        <x:f>'General'!B9</x:f>
        <x:v>2 al 6 de noviembre</x:v>
      </x:c>
      <x:c r="C20" s="45" t="n">
        <x:f>'General'!C9</x:f>
        <x:v>20</x:v>
      </x:c>
      <x:c r="E20" s="48" t="str">
        <x:f>'General'!F9</x:f>
        <x:v>Pendiente</x:v>
      </x:c>
      <x:c r="F20" s="49" t="n">
        <x:f>'General'!G9</x:f>
        <x:v>0</x:v>
      </x:c>
      <x:c r="G20" s="47" t="n">
        <x:f t="shared" si="0">C20*F20</x:f>
        <x:v>0</x:v>
      </x:c>
      <x:c r="H20" s="47" t="n">
        <x:f t="shared" si="1">MAX(C20-G20,0)</x:f>
        <x:v>20</x:v>
      </x:c>
      <x:c r="J20" s="50" t="s">
        <x:v>110</x:v>
      </x:c>
      <x:c r="K20" s="51" t="n">
        <x:f>MAX($B$5-$B$6,0)</x:f>
        <x:v>157</x:v>
      </x:c>
    </x:row>
    <x:row r="24">
      <x:c r="A24" s="43" t="s">
        <x:v>111</x:v>
      </x:c>
      <x:c r="B24" s="43" t="s">
        <x:v>112</x:v>
      </x:c>
      <x:c r="C24" s="43" t="s">
        <x:v>1</x:v>
      </x:c>
      <x:c r="D24" s="43" t="s">
        <x:v>113</x:v>
      </x:c>
      <x:c r="E24" s="43" t="s">
        <x:v>114</x:v>
      </x:c>
      <x:c r="J24" s="43" t="s">
        <x:v>115</x:v>
      </x:c>
      <x:c r="K24" s="43" t="s">
        <x:v>116</x:v>
      </x:c>
      <x:c r="L24" s="43" t="s">
        <x:v>117</x:v>
      </x:c>
    </x:row>
    <x:row r="25">
      <x:c r="A25" s="44" t="s">
        <x:v>118</x:v>
      </x:c>
      <x:c r="B25" s="45">
        <x:v>24</x:v>
      </x:c>
      <x:c r="C25" s="44" t="s">
        <x:v>119</x:v>
      </x:c>
      <x:c r="D25" s="45" t="n">
        <x:f>SUM($B$25:B25)</x:f>
        <x:v>24</x:v>
      </x:c>
      <x:c r="E25" s="44" t="s">
        <x:v>120</x:v>
      </x:c>
      <x:c r="J25" s="54" t="s">
        <x:v>121</x:v>
      </x:c>
      <x:c r="K25" s="54" t="s">
        <x:v>122</x:v>
      </x:c>
      <x:c r="L25" s="54" t="s">
        <x:v>123</x:v>
      </x:c>
    </x:row>
    <x:row r="26">
      <x:c r="A26" s="44" t="s">
        <x:v>124</x:v>
      </x:c>
      <x:c r="B26" s="45">
        <x:v>25</x:v>
      </x:c>
      <x:c r="C26" s="44" t="s">
        <x:v>125</x:v>
      </x:c>
      <x:c r="D26" s="45" t="n">
        <x:f>SUM($B$25:B26)</x:f>
        <x:v>49</x:v>
      </x:c>
      <x:c r="E26" s="44" t="s">
        <x:v>126</x:v>
      </x:c>
      <x:c r="J26" s="54" t="s">
        <x:v>127</x:v>
      </x:c>
      <x:c r="K26" s="54" t="s">
        <x:v>128</x:v>
      </x:c>
      <x:c r="L26" s="60">
        <x:v>24</x:v>
      </x:c>
    </x:row>
    <x:row r="27">
      <x:c r="A27" s="44" t="s">
        <x:v>129</x:v>
      </x:c>
      <x:c r="B27" s="45">
        <x:v>25</x:v>
      </x:c>
      <x:c r="C27" s="44" t="s">
        <x:v>130</x:v>
      </x:c>
      <x:c r="D27" s="45" t="n">
        <x:f>SUM($B$25:B27)</x:f>
        <x:v>74</x:v>
      </x:c>
      <x:c r="E27" s="44" t="s">
        <x:v>131</x:v>
      </x:c>
      <x:c r="J27" s="54" t="s">
        <x:v>132</x:v>
      </x:c>
      <x:c r="K27" s="54" t="s">
        <x:v>128</x:v>
      </x:c>
      <x:c r="L27" s="54">
        <x:v>25</x:v>
      </x:c>
    </x:row>
    <x:row r="28">
      <x:c r="A28" s="44" t="s">
        <x:v>133</x:v>
      </x:c>
      <x:c r="B28" s="45">
        <x:v>25</x:v>
      </x:c>
      <x:c r="C28" s="44" t="s">
        <x:v>134</x:v>
      </x:c>
      <x:c r="D28" s="45" t="n">
        <x:f>SUM($B$25:B28)</x:f>
        <x:v>99</x:v>
      </x:c>
      <x:c r="E28" s="44" t="s">
        <x:v>135</x:v>
      </x:c>
      <x:c r="J28" s="54" t="s">
        <x:v>136</x:v>
      </x:c>
      <x:c r="K28" s="54" t="s">
        <x:v>128</x:v>
      </x:c>
      <x:c r="L28" s="54">
        <x:v>25</x:v>
      </x:c>
    </x:row>
    <x:row r="29">
      <x:c r="A29" s="44" t="s">
        <x:v>137</x:v>
      </x:c>
      <x:c r="B29" s="45">
        <x:v>25</x:v>
      </x:c>
      <x:c r="C29" s="44" t="s">
        <x:v>138</x:v>
      </x:c>
      <x:c r="D29" s="45" t="n">
        <x:f>SUM($B$25:B29)</x:f>
        <x:v>124</x:v>
      </x:c>
      <x:c r="E29" s="44" t="s">
        <x:v>139</x:v>
      </x:c>
      <x:c r="J29" s="54" t="s">
        <x:v>140</x:v>
      </x:c>
      <x:c r="K29" s="54" t="s">
        <x:v>128</x:v>
      </x:c>
      <x:c r="L29" s="54">
        <x:v>25</x:v>
      </x:c>
    </x:row>
    <x:row r="30">
      <x:c r="A30" s="44" t="s">
        <x:v>141</x:v>
      </x:c>
      <x:c r="B30" s="45">
        <x:v>19</x:v>
      </x:c>
      <x:c r="C30" s="44" t="s">
        <x:v>142</x:v>
      </x:c>
      <x:c r="D30" s="45" t="n">
        <x:f>SUM(B25:B30)</x:f>
        <x:v>143</x:v>
      </x:c>
      <x:c r="E30" s="44" t="s">
        <x:v>143</x:v>
      </x:c>
      <x:c r="J30" s="54" t="s">
        <x:v>144</x:v>
      </x:c>
      <x:c r="K30" s="54" t="s">
        <x:v>128</x:v>
      </x:c>
      <x:c r="L30" s="54">
        <x:v>25</x:v>
      </x:c>
    </x:row>
    <x:row r="31">
      <x:c r="A31" s="52" t="s">
        <x:v>145</x:v>
      </x:c>
      <x:c r="B31" s="53" t="n">
        <x:f>SUM(B25:B30)</x:f>
        <x:v>143</x:v>
      </x:c>
      <x:c r="C31" s="52"/>
      <x:c r="D31" s="53" t="n">
        <x:f>D30</x:f>
        <x:v>143</x:v>
      </x:c>
      <x:c r="E31" s="52"/>
      <x:c r="J31" s="54" t="s">
        <x:v>146</x:v>
      </x:c>
      <x:c r="K31" s="54" t="s">
        <x:v>128</x:v>
      </x:c>
      <x:c r="L31" s="54">
        <x:v>19</x:v>
      </x:c>
    </x:row>
    <x:row r="34" ht="15.600000381469727">
      <x:c r="A34" s="55" t="s">
        <x:v>147</x:v>
      </x:c>
    </x:row>
    <x:row r="35" ht="34" customHeight="1">
      <x:c r="A35" s="93" t="str">
        <x:v>Actualice Estado en cada hoja de tareas. El avance se calcula con 0 %, 50 % y 100 % y se pondera por horas.</x:v>
      </x:c>
      <x:c r="B35" s="93"/>
      <x:c r="C35" s="93"/>
      <x:c r="D35" s="93"/>
      <x:c r="E35" s="93"/>
      <x:c r="F35" s="93"/>
      <x:c r="G35" s="93"/>
      <x:c r="H35" s="93"/>
      <x:c r="I35" s="88"/>
      <x:c r="J35" s="88"/>
      <x:c r="K35" s="88"/>
      <x:c r="L35" s="88"/>
    </x:row>
    <x:row r="36" ht="34" customHeight="1">
      <x:c r="A36" s="93" t="str">
        <x:v>Las horas reales son las de las bitácoras. Se conservan las 143 h hasta el 11/09; no se registran horas futuras como realizadas.</x:v>
      </x:c>
      <x:c r="B36" s="93"/>
      <x:c r="C36" s="93"/>
      <x:c r="D36" s="93"/>
      <x:c r="E36" s="93"/>
      <x:c r="F36" s="93"/>
      <x:c r="G36" s="93"/>
      <x:c r="H36" s="93"/>
      <x:c r="I36" s="88"/>
      <x:c r="J36" s="88"/>
      <x:c r="K36" s="88"/>
      <x:c r="L36" s="88"/>
    </x:row>
    <x:row r="37" ht="34" customHeight="1">
      <x:c r="A37" s="93" t="str">
        <x:v>El alcance se corrige en todas las hojas. General distingue horas planificadas, horas reales y trabajo futuro.</x:v>
      </x:c>
      <x:c r="B37" s="93"/>
      <x:c r="C37" s="93"/>
      <x:c r="D37" s="93"/>
      <x:c r="E37" s="93"/>
      <x:c r="F37" s="93"/>
      <x:c r="G37" s="93"/>
      <x:c r="H37" s="93"/>
      <x:c r="I37" s="88"/>
      <x:c r="J37" s="88"/>
      <x:c r="K37" s="88"/>
      <x:c r="L37" s="88"/>
    </x:row>
    <x:row r="38" ht="34" customHeight="1">
      <x:c r="A38" s="93" t="str">
        <x:v>Presupuesto original restablecido: siete hojas de 40 h y cierre de 20 h. Las horas se redistribuyen entre tareas sin alterar las bitácoras.</x:v>
      </x:c>
      <x:c r="B38" s="93"/>
      <x:c r="C38" s="93"/>
      <x:c r="D38" s="93"/>
      <x:c r="E38" s="93"/>
      <x:c r="F38" s="93"/>
      <x:c r="G38" s="93"/>
      <x:c r="H38" s="93"/>
      <x:c r="I38" s="88"/>
      <x:c r="J38" s="88"/>
      <x:c r="K38" s="88"/>
      <x:c r="L38" s="88"/>
    </x:row>
  </x:sheetData>
  <x:mergeCells>
    <x:mergeCell ref="A35:H35"/>
    <x:mergeCell ref="A36:H36"/>
    <x:mergeCell ref="A37:H37"/>
    <x:mergeCell ref="A38:H38"/>
  </x:mergeCells>
  <x:conditionalFormatting sqref="E13:E20">
    <x:cfRule type="containsText" dxfId="2" priority="2" operator="containsText" text="Pendiente">
      <x:formula>NOT(ISERROR(SEARCH("Pendiente",E13)))</x:formula>
    </x:cfRule>
    <x:cfRule type="containsText" dxfId="1" priority="3" operator="containsText" text="En Proceso">
      <x:formula>NOT(ISERROR(SEARCH("En Proceso",E13)))</x:formula>
    </x:cfRule>
    <x:cfRule type="containsText" dxfId="0" priority="4" operator="containsText" text="Terminado">
      <x:formula>NOT(ISERROR(SEARCH("Terminado",E13)))</x:formula>
    </x:cfRule>
  </x:conditionalFormatting>
  <x:conditionalFormatting sqref="F13:F2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E13:E20">
      <x:formula1>"Terminado,En Proceso,Pendiente"</x:formula1>
    </x:dataValidation>
  </x:dataValidations>
  <x:pageMargins left="0.7" right="0.7" top="0.75" bottom="0.75" header="0.3" footer="0.3"/>
  <x:drawing xmlns:r="http://schemas.openxmlformats.org/officeDocument/2006/relationships" r:id="Rc9f4bcda254d4649"/>
</x:worksheet>
</file>